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0A6889C-4A93-410F-A01B-4A44B3FEE1C7}" xr6:coauthVersionLast="47" xr6:coauthVersionMax="47" xr10:uidLastSave="{00000000-0000-0000-0000-000000000000}"/>
  <bookViews>
    <workbookView xWindow="-108" yWindow="-108" windowWidth="23256" windowHeight="12456" xr2:uid="{91420C95-0FFB-42A4-BF75-E68DD31F29FF}"/>
  </bookViews>
  <sheets>
    <sheet name="Dashboard" sheetId="3" r:id="rId1"/>
    <sheet name="pivots" sheetId="5" r:id="rId2"/>
    <sheet name="Sheet2" sheetId="7" r:id="rId3"/>
    <sheet name="Sheet3" sheetId="10" r:id="rId4"/>
    <sheet name="supply_chain_data" sheetId="1" r:id="rId5"/>
  </sheets>
  <calcPr calcId="191029"/>
  <pivotCaches>
    <pivotCache cacheId="2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7" l="1"/>
  <c r="J5" i="7"/>
  <c r="K5" i="7"/>
  <c r="J4" i="7"/>
  <c r="L4" i="7"/>
  <c r="I4" i="7"/>
  <c r="I5" i="7"/>
  <c r="L5" i="7"/>
  <c r="I6" i="7"/>
  <c r="J6" i="7"/>
  <c r="K6" i="7"/>
  <c r="L6" i="7"/>
  <c r="I7" i="7"/>
  <c r="J7" i="7"/>
  <c r="K7" i="7"/>
  <c r="L7" i="7"/>
  <c r="H6" i="7"/>
  <c r="H7" i="7"/>
  <c r="H5" i="7"/>
  <c r="M4" i="5"/>
  <c r="L4" i="5"/>
  <c r="K4" i="5"/>
  <c r="J4" i="5"/>
  <c r="I4" i="5"/>
  <c r="H4" i="5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2" i="1"/>
</calcChain>
</file>

<file path=xl/sharedStrings.xml><?xml version="1.0" encoding="utf-8"?>
<sst xmlns="http://schemas.openxmlformats.org/spreadsheetml/2006/main" count="1112" uniqueCount="175">
  <si>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</si>
  <si>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</si>
  <si>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</si>
  <si>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</si>
  <si>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</si>
  <si>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</si>
  <si>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</si>
  <si>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</si>
  <si>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</si>
  <si>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</si>
  <si>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</si>
  <si>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</si>
  <si>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</si>
  <si>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</si>
  <si>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</si>
  <si>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</si>
  <si>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</si>
  <si>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</si>
  <si>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</si>
  <si>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</si>
  <si>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</si>
  <si>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</si>
  <si>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</si>
  <si>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</si>
  <si>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</si>
  <si>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</si>
  <si>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</si>
  <si>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</si>
  <si>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</si>
  <si>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</si>
  <si>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</si>
  <si>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</si>
  <si>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</si>
  <si>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</si>
  <si>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</si>
  <si>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</si>
  <si>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</si>
  <si>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</si>
  <si>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</si>
  <si>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</si>
  <si>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</si>
  <si>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</si>
  <si>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</si>
  <si>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</si>
  <si>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</si>
  <si>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</si>
  <si>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</si>
  <si>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</si>
  <si>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</si>
  <si>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</si>
  <si>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</si>
  <si>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</si>
  <si>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</si>
  <si>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</si>
  <si>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</si>
  <si>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</si>
  <si>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</si>
  <si>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</si>
  <si>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</si>
  <si>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</si>
  <si>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</si>
  <si>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</si>
  <si>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</si>
  <si>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</si>
  <si>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</si>
  <si>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</si>
  <si>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</si>
  <si>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</si>
  <si>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</si>
  <si>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</si>
  <si>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</si>
  <si>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</si>
  <si>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</si>
  <si>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</si>
  <si>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</si>
  <si>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</si>
  <si>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</si>
  <si>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</si>
  <si>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</si>
  <si>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</si>
  <si>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</si>
  <si>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</si>
  <si>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</si>
  <si>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</si>
  <si>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</si>
  <si>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</si>
  <si>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</si>
  <si>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</si>
  <si>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</si>
  <si>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</si>
  <si>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</si>
  <si>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</si>
  <si>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</si>
  <si>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</si>
  <si>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</si>
  <si>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</si>
  <si>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</si>
  <si>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</si>
  <si>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</si>
  <si>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</si>
  <si>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</si>
  <si>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</si>
  <si>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</si>
  <si>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</si>
  <si>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</si>
  <si>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</si>
  <si>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</si>
  <si>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</si>
  <si>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</si>
  <si>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</si>
  <si>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</si>
  <si>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</si>
  <si>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</si>
  <si>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</si>
  <si>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</si>
  <si>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</si>
  <si>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</si>
  <si>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</si>
  <si>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</si>
  <si>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</si>
  <si>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</si>
  <si>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</si>
  <si>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</si>
  <si>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</si>
  <si>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</si>
  <si>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</si>
  <si>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</si>
  <si>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</si>
  <si>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</si>
  <si>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</si>
  <si>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</si>
  <si>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</si>
  <si>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</si>
  <si>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</si>
  <si>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</si>
  <si>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</si>
  <si>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</si>
  <si>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</si>
  <si>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</si>
  <si>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</si>
  <si>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</si>
  <si>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</si>
  <si>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</si>
  <si>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</si>
  <si>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</si>
  <si>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</si>
  <si>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</si>
  <si>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</si>
  <si>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</si>
  <si>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</si>
  <si>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</si>
  <si>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</si>
  <si>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</si>
  <si>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</si>
  <si>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Count of SKU</t>
  </si>
  <si>
    <t>Sum of Revenue generated</t>
  </si>
  <si>
    <t>Revenue</t>
  </si>
  <si>
    <t>Sum of Number of products sold</t>
  </si>
  <si>
    <t>Profit</t>
  </si>
  <si>
    <t>Average lead time</t>
  </si>
  <si>
    <t>Average Defect Rate</t>
  </si>
  <si>
    <t>Sum of Profit</t>
  </si>
  <si>
    <t>Average of Average lead time</t>
  </si>
  <si>
    <t>Average of Average Defect Rate</t>
  </si>
  <si>
    <t>Values for display</t>
  </si>
  <si>
    <t>Count</t>
  </si>
  <si>
    <t>Products sold</t>
  </si>
  <si>
    <t>Avg. lead time</t>
  </si>
  <si>
    <t>Avg. defect rate</t>
  </si>
  <si>
    <t>Row Labels</t>
  </si>
  <si>
    <t>Grand Total</t>
  </si>
  <si>
    <t>Column Labels</t>
  </si>
  <si>
    <t>Sum of Price</t>
  </si>
  <si>
    <t>For Matrix</t>
  </si>
  <si>
    <t>Sum of Shipping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</si>
</sst>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F1EAD8"/>
      </left>
      <right/>
      <top style="thin">
        <color rgb="FFF1EAD8"/>
      </top>
      <bottom/>
      <diagonal/>
    </border>
    <border>
      <left/>
      <right style="thin">
        <color rgb="FFF1EAD8"/>
      </right>
      <top style="thin">
        <color rgb="FFF1EAD8"/>
      </top>
      <bottom/>
      <diagonal/>
    </border>
    <border>
      <left style="thin">
        <color rgb="FFF1EAD8"/>
      </left>
      <right/>
      <top/>
      <bottom style="thin">
        <color rgb="FFF1EAD8"/>
      </bottom>
      <diagonal/>
    </border>
    <border>
      <left/>
      <right style="thin">
        <color rgb="FFF1EAD8"/>
      </right>
      <top/>
      <bottom style="thin">
        <color rgb="FFF1EAD8"/>
      </bottom>
      <diagonal/>
    </border>
    <border>
      <left style="medium">
        <color theme="0" tint="-4.9989318521683403E-2"/>
      </left>
      <right style="thin">
        <color rgb="FFF1EAD8"/>
      </right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 style="thin">
        <color rgb="FFF1EAD8"/>
      </right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 style="thin">
        <color rgb="FFF1EAD8"/>
      </right>
      <top/>
      <bottom style="thin">
        <color rgb="FFF1EAD8"/>
      </bottom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5" fontId="0" fillId="0" borderId="20" xfId="0" applyNumberFormat="1" applyBorder="1"/>
    <xf numFmtId="0" fontId="0" fillId="0" borderId="21" xfId="0" applyBorder="1"/>
    <xf numFmtId="0" fontId="0" fillId="0" borderId="22" xfId="0" applyBorder="1"/>
    <xf numFmtId="165" fontId="0" fillId="0" borderId="23" xfId="0" applyNumberFormat="1" applyBorder="1"/>
    <xf numFmtId="165" fontId="0" fillId="0" borderId="24" xfId="0" applyNumberFormat="1" applyBorder="1"/>
    <xf numFmtId="0" fontId="16" fillId="33" borderId="11" xfId="0" applyFont="1" applyFill="1" applyBorder="1" applyAlignment="1">
      <alignment horizontal="left"/>
    </xf>
    <xf numFmtId="0" fontId="16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1EAD8"/>
      <color rgb="FF212842"/>
      <color rgb="FFF5D7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 (version 1).xlsx]pivots!PivotTable2</c:name>
    <c:fmtId val="7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pivots!$B$8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pivots!$A$9:$A$12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pivots!$B$9:$B$12</c:f>
              <c:numCache>
                <c:formatCode>"₹"\ #,##0</c:formatCode>
                <c:ptCount val="3"/>
                <c:pt idx="0">
                  <c:v>160244.3310839824</c:v>
                </c:pt>
                <c:pt idx="1">
                  <c:v>172606.95509456514</c:v>
                </c:pt>
                <c:pt idx="2">
                  <c:v>239472.04832811165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F-42B0-8518-7527AD148F97}"/>
            </c:ext>
          </c:extLst>
        </c:ser>
        <c:ser>
          <c:idx val="1"/>
          <c:order val="1"/>
          <c:tx>
            <c:strRef>
              <c:f>pivots!$C$8</c:f>
              <c:strCache>
                <c:ptCount val="1"/>
                <c:pt idx="0">
                  <c:v>Sum of Revenue generated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pivots!$A$9:$A$12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pivots!$C$9:$C$12</c:f>
              <c:numCache>
                <c:formatCode>General</c:formatCode>
                <c:ptCount val="3"/>
                <c:pt idx="0">
                  <c:v>161521.26599948306</c:v>
                </c:pt>
                <c:pt idx="1">
                  <c:v>174455.39060546222</c:v>
                </c:pt>
                <c:pt idx="2">
                  <c:v>241628.16213306302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F-42B0-8518-7527AD148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47584"/>
        <c:axId val="155845184"/>
      </c:lineChart>
      <c:catAx>
        <c:axId val="15584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45184"/>
        <c:crosses val="autoZero"/>
        <c:auto val="1"/>
        <c:lblAlgn val="ctr"/>
        <c:lblOffset val="100"/>
        <c:noMultiLvlLbl val="0"/>
      </c:catAx>
      <c:valAx>
        <c:axId val="1558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4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 (version 1).xlsx]pivots!PivotTable4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No</a:t>
            </a:r>
            <a:r>
              <a:rPr lang="en-US" baseline="0"/>
              <a:t> of Products sold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pivots!$A$18:$A$118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SKU10</c:v>
                </c:pt>
                <c:pt idx="3">
                  <c:v>SKU11</c:v>
                </c:pt>
                <c:pt idx="4">
                  <c:v>SKU12</c:v>
                </c:pt>
                <c:pt idx="5">
                  <c:v>SKU13</c:v>
                </c:pt>
                <c:pt idx="6">
                  <c:v>SKU14</c:v>
                </c:pt>
                <c:pt idx="7">
                  <c:v>SKU15</c:v>
                </c:pt>
                <c:pt idx="8">
                  <c:v>SKU16</c:v>
                </c:pt>
                <c:pt idx="9">
                  <c:v>SKU17</c:v>
                </c:pt>
                <c:pt idx="10">
                  <c:v>SKU18</c:v>
                </c:pt>
                <c:pt idx="11">
                  <c:v>SKU19</c:v>
                </c:pt>
                <c:pt idx="12">
                  <c:v>SKU2</c:v>
                </c:pt>
                <c:pt idx="13">
                  <c:v>SKU20</c:v>
                </c:pt>
                <c:pt idx="14">
                  <c:v>SKU21</c:v>
                </c:pt>
                <c:pt idx="15">
                  <c:v>SKU22</c:v>
                </c:pt>
                <c:pt idx="16">
                  <c:v>SKU23</c:v>
                </c:pt>
                <c:pt idx="17">
                  <c:v>SKU24</c:v>
                </c:pt>
                <c:pt idx="18">
                  <c:v>SKU25</c:v>
                </c:pt>
                <c:pt idx="19">
                  <c:v>SKU26</c:v>
                </c:pt>
                <c:pt idx="20">
                  <c:v>SKU27</c:v>
                </c:pt>
                <c:pt idx="21">
                  <c:v>SKU28</c:v>
                </c:pt>
                <c:pt idx="22">
                  <c:v>SKU29</c:v>
                </c:pt>
                <c:pt idx="23">
                  <c:v>SKU3</c:v>
                </c:pt>
                <c:pt idx="24">
                  <c:v>SKU30</c:v>
                </c:pt>
                <c:pt idx="25">
                  <c:v>SKU31</c:v>
                </c:pt>
                <c:pt idx="26">
                  <c:v>SKU32</c:v>
                </c:pt>
                <c:pt idx="27">
                  <c:v>SKU33</c:v>
                </c:pt>
                <c:pt idx="28">
                  <c:v>SKU34</c:v>
                </c:pt>
                <c:pt idx="29">
                  <c:v>SKU35</c:v>
                </c:pt>
                <c:pt idx="30">
                  <c:v>SKU36</c:v>
                </c:pt>
                <c:pt idx="31">
                  <c:v>SKU37</c:v>
                </c:pt>
                <c:pt idx="32">
                  <c:v>SKU38</c:v>
                </c:pt>
                <c:pt idx="33">
                  <c:v>SKU39</c:v>
                </c:pt>
                <c:pt idx="34">
                  <c:v>SKU4</c:v>
                </c:pt>
                <c:pt idx="35">
                  <c:v>SKU40</c:v>
                </c:pt>
                <c:pt idx="36">
                  <c:v>SKU41</c:v>
                </c:pt>
                <c:pt idx="37">
                  <c:v>SKU42</c:v>
                </c:pt>
                <c:pt idx="38">
                  <c:v>SKU43</c:v>
                </c:pt>
                <c:pt idx="39">
                  <c:v>SKU44</c:v>
                </c:pt>
                <c:pt idx="40">
                  <c:v>SKU45</c:v>
                </c:pt>
                <c:pt idx="41">
                  <c:v>SKU46</c:v>
                </c:pt>
                <c:pt idx="42">
                  <c:v>SKU47</c:v>
                </c:pt>
                <c:pt idx="43">
                  <c:v>SKU48</c:v>
                </c:pt>
                <c:pt idx="44">
                  <c:v>SKU49</c:v>
                </c:pt>
                <c:pt idx="45">
                  <c:v>SKU5</c:v>
                </c:pt>
                <c:pt idx="46">
                  <c:v>SKU50</c:v>
                </c:pt>
                <c:pt idx="47">
                  <c:v>SKU51</c:v>
                </c:pt>
                <c:pt idx="48">
                  <c:v>SKU52</c:v>
                </c:pt>
                <c:pt idx="49">
                  <c:v>SKU53</c:v>
                </c:pt>
                <c:pt idx="50">
                  <c:v>SKU54</c:v>
                </c:pt>
                <c:pt idx="51">
                  <c:v>SKU55</c:v>
                </c:pt>
                <c:pt idx="52">
                  <c:v>SKU56</c:v>
                </c:pt>
                <c:pt idx="53">
                  <c:v>SKU57</c:v>
                </c:pt>
                <c:pt idx="54">
                  <c:v>SKU58</c:v>
                </c:pt>
                <c:pt idx="55">
                  <c:v>SKU59</c:v>
                </c:pt>
                <c:pt idx="56">
                  <c:v>SKU6</c:v>
                </c:pt>
                <c:pt idx="57">
                  <c:v>SKU60</c:v>
                </c:pt>
                <c:pt idx="58">
                  <c:v>SKU61</c:v>
                </c:pt>
                <c:pt idx="59">
                  <c:v>SKU62</c:v>
                </c:pt>
                <c:pt idx="60">
                  <c:v>SKU63</c:v>
                </c:pt>
                <c:pt idx="61">
                  <c:v>SKU64</c:v>
                </c:pt>
                <c:pt idx="62">
                  <c:v>SKU65</c:v>
                </c:pt>
                <c:pt idx="63">
                  <c:v>SKU66</c:v>
                </c:pt>
                <c:pt idx="64">
                  <c:v>SKU67</c:v>
                </c:pt>
                <c:pt idx="65">
                  <c:v>SKU68</c:v>
                </c:pt>
                <c:pt idx="66">
                  <c:v>SKU69</c:v>
                </c:pt>
                <c:pt idx="67">
                  <c:v>SKU7</c:v>
                </c:pt>
                <c:pt idx="68">
                  <c:v>SKU70</c:v>
                </c:pt>
                <c:pt idx="69">
                  <c:v>SKU71</c:v>
                </c:pt>
                <c:pt idx="70">
                  <c:v>SKU72</c:v>
                </c:pt>
                <c:pt idx="71">
                  <c:v>SKU73</c:v>
                </c:pt>
                <c:pt idx="72">
                  <c:v>SKU74</c:v>
                </c:pt>
                <c:pt idx="73">
                  <c:v>SKU75</c:v>
                </c:pt>
                <c:pt idx="74">
                  <c:v>SKU76</c:v>
                </c:pt>
                <c:pt idx="75">
                  <c:v>SKU77</c:v>
                </c:pt>
                <c:pt idx="76">
                  <c:v>SKU78</c:v>
                </c:pt>
                <c:pt idx="77">
                  <c:v>SKU79</c:v>
                </c:pt>
                <c:pt idx="78">
                  <c:v>SKU8</c:v>
                </c:pt>
                <c:pt idx="79">
                  <c:v>SKU80</c:v>
                </c:pt>
                <c:pt idx="80">
                  <c:v>SKU81</c:v>
                </c:pt>
                <c:pt idx="81">
                  <c:v>SKU82</c:v>
                </c:pt>
                <c:pt idx="82">
                  <c:v>SKU83</c:v>
                </c:pt>
                <c:pt idx="83">
                  <c:v>SKU84</c:v>
                </c:pt>
                <c:pt idx="84">
                  <c:v>SKU85</c:v>
                </c:pt>
                <c:pt idx="85">
                  <c:v>SKU86</c:v>
                </c:pt>
                <c:pt idx="86">
                  <c:v>SKU87</c:v>
                </c:pt>
                <c:pt idx="87">
                  <c:v>SKU88</c:v>
                </c:pt>
                <c:pt idx="88">
                  <c:v>SKU89</c:v>
                </c:pt>
                <c:pt idx="89">
                  <c:v>SKU9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cat>
          <c:val>
            <c:numRef>
              <c:f>pivots!$B$18:$B$118</c:f>
              <c:numCache>
                <c:formatCode>General</c:formatCode>
                <c:ptCount val="100"/>
                <c:pt idx="0">
                  <c:v>802</c:v>
                </c:pt>
                <c:pt idx="1">
                  <c:v>736</c:v>
                </c:pt>
                <c:pt idx="2">
                  <c:v>996</c:v>
                </c:pt>
                <c:pt idx="3">
                  <c:v>960</c:v>
                </c:pt>
                <c:pt idx="4">
                  <c:v>336</c:v>
                </c:pt>
                <c:pt idx="5">
                  <c:v>249</c:v>
                </c:pt>
                <c:pt idx="6">
                  <c:v>562</c:v>
                </c:pt>
                <c:pt idx="7">
                  <c:v>469</c:v>
                </c:pt>
                <c:pt idx="8">
                  <c:v>280</c:v>
                </c:pt>
                <c:pt idx="9">
                  <c:v>126</c:v>
                </c:pt>
                <c:pt idx="10">
                  <c:v>620</c:v>
                </c:pt>
                <c:pt idx="11">
                  <c:v>187</c:v>
                </c:pt>
                <c:pt idx="12">
                  <c:v>8</c:v>
                </c:pt>
                <c:pt idx="13">
                  <c:v>320</c:v>
                </c:pt>
                <c:pt idx="14">
                  <c:v>601</c:v>
                </c:pt>
                <c:pt idx="15">
                  <c:v>884</c:v>
                </c:pt>
                <c:pt idx="16">
                  <c:v>391</c:v>
                </c:pt>
                <c:pt idx="17">
                  <c:v>209</c:v>
                </c:pt>
                <c:pt idx="18">
                  <c:v>142</c:v>
                </c:pt>
                <c:pt idx="19">
                  <c:v>353</c:v>
                </c:pt>
                <c:pt idx="20">
                  <c:v>352</c:v>
                </c:pt>
                <c:pt idx="21">
                  <c:v>394</c:v>
                </c:pt>
                <c:pt idx="22">
                  <c:v>253</c:v>
                </c:pt>
                <c:pt idx="23">
                  <c:v>83</c:v>
                </c:pt>
                <c:pt idx="24">
                  <c:v>327</c:v>
                </c:pt>
                <c:pt idx="25">
                  <c:v>168</c:v>
                </c:pt>
                <c:pt idx="26">
                  <c:v>781</c:v>
                </c:pt>
                <c:pt idx="27">
                  <c:v>616</c:v>
                </c:pt>
                <c:pt idx="28">
                  <c:v>602</c:v>
                </c:pt>
                <c:pt idx="29">
                  <c:v>449</c:v>
                </c:pt>
                <c:pt idx="30">
                  <c:v>963</c:v>
                </c:pt>
                <c:pt idx="31">
                  <c:v>963</c:v>
                </c:pt>
                <c:pt idx="32">
                  <c:v>705</c:v>
                </c:pt>
                <c:pt idx="33">
                  <c:v>176</c:v>
                </c:pt>
                <c:pt idx="34">
                  <c:v>871</c:v>
                </c:pt>
                <c:pt idx="35">
                  <c:v>933</c:v>
                </c:pt>
                <c:pt idx="36">
                  <c:v>556</c:v>
                </c:pt>
                <c:pt idx="37">
                  <c:v>155</c:v>
                </c:pt>
                <c:pt idx="38">
                  <c:v>598</c:v>
                </c:pt>
                <c:pt idx="39">
                  <c:v>919</c:v>
                </c:pt>
                <c:pt idx="40">
                  <c:v>24</c:v>
                </c:pt>
                <c:pt idx="41">
                  <c:v>859</c:v>
                </c:pt>
                <c:pt idx="42">
                  <c:v>910</c:v>
                </c:pt>
                <c:pt idx="43">
                  <c:v>29</c:v>
                </c:pt>
                <c:pt idx="44">
                  <c:v>99</c:v>
                </c:pt>
                <c:pt idx="45">
                  <c:v>147</c:v>
                </c:pt>
                <c:pt idx="46">
                  <c:v>633</c:v>
                </c:pt>
                <c:pt idx="47">
                  <c:v>154</c:v>
                </c:pt>
                <c:pt idx="48">
                  <c:v>820</c:v>
                </c:pt>
                <c:pt idx="49">
                  <c:v>242</c:v>
                </c:pt>
                <c:pt idx="50">
                  <c:v>622</c:v>
                </c:pt>
                <c:pt idx="51">
                  <c:v>701</c:v>
                </c:pt>
                <c:pt idx="52">
                  <c:v>93</c:v>
                </c:pt>
                <c:pt idx="53">
                  <c:v>227</c:v>
                </c:pt>
                <c:pt idx="54">
                  <c:v>896</c:v>
                </c:pt>
                <c:pt idx="55">
                  <c:v>484</c:v>
                </c:pt>
                <c:pt idx="56">
                  <c:v>65</c:v>
                </c:pt>
                <c:pt idx="57">
                  <c:v>380</c:v>
                </c:pt>
                <c:pt idx="58">
                  <c:v>117</c:v>
                </c:pt>
                <c:pt idx="59">
                  <c:v>270</c:v>
                </c:pt>
                <c:pt idx="60">
                  <c:v>246</c:v>
                </c:pt>
                <c:pt idx="61">
                  <c:v>134</c:v>
                </c:pt>
                <c:pt idx="62">
                  <c:v>457</c:v>
                </c:pt>
                <c:pt idx="63">
                  <c:v>704</c:v>
                </c:pt>
                <c:pt idx="64">
                  <c:v>513</c:v>
                </c:pt>
                <c:pt idx="65">
                  <c:v>163</c:v>
                </c:pt>
                <c:pt idx="66">
                  <c:v>511</c:v>
                </c:pt>
                <c:pt idx="67">
                  <c:v>426</c:v>
                </c:pt>
                <c:pt idx="68">
                  <c:v>32</c:v>
                </c:pt>
                <c:pt idx="69">
                  <c:v>637</c:v>
                </c:pt>
                <c:pt idx="70">
                  <c:v>478</c:v>
                </c:pt>
                <c:pt idx="71">
                  <c:v>375</c:v>
                </c:pt>
                <c:pt idx="72">
                  <c:v>904</c:v>
                </c:pt>
                <c:pt idx="73">
                  <c:v>106</c:v>
                </c:pt>
                <c:pt idx="74">
                  <c:v>241</c:v>
                </c:pt>
                <c:pt idx="75">
                  <c:v>359</c:v>
                </c:pt>
                <c:pt idx="76">
                  <c:v>946</c:v>
                </c:pt>
                <c:pt idx="77">
                  <c:v>198</c:v>
                </c:pt>
                <c:pt idx="78">
                  <c:v>150</c:v>
                </c:pt>
                <c:pt idx="79">
                  <c:v>872</c:v>
                </c:pt>
                <c:pt idx="80">
                  <c:v>774</c:v>
                </c:pt>
                <c:pt idx="81">
                  <c:v>336</c:v>
                </c:pt>
                <c:pt idx="82">
                  <c:v>663</c:v>
                </c:pt>
                <c:pt idx="83">
                  <c:v>618</c:v>
                </c:pt>
                <c:pt idx="84">
                  <c:v>25</c:v>
                </c:pt>
                <c:pt idx="85">
                  <c:v>223</c:v>
                </c:pt>
                <c:pt idx="86">
                  <c:v>79</c:v>
                </c:pt>
                <c:pt idx="87">
                  <c:v>737</c:v>
                </c:pt>
                <c:pt idx="88">
                  <c:v>134</c:v>
                </c:pt>
                <c:pt idx="89">
                  <c:v>980</c:v>
                </c:pt>
                <c:pt idx="90">
                  <c:v>320</c:v>
                </c:pt>
                <c:pt idx="91">
                  <c:v>916</c:v>
                </c:pt>
                <c:pt idx="92">
                  <c:v>276</c:v>
                </c:pt>
                <c:pt idx="93">
                  <c:v>114</c:v>
                </c:pt>
                <c:pt idx="94">
                  <c:v>987</c:v>
                </c:pt>
                <c:pt idx="95">
                  <c:v>672</c:v>
                </c:pt>
                <c:pt idx="96">
                  <c:v>324</c:v>
                </c:pt>
                <c:pt idx="97">
                  <c:v>62</c:v>
                </c:pt>
                <c:pt idx="98">
                  <c:v>913</c:v>
                </c:pt>
                <c:pt idx="99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9-4E97-AF06-1895ED7B3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897568"/>
        <c:axId val="544898048"/>
      </c:barChart>
      <c:catAx>
        <c:axId val="5448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98048"/>
        <c:crosses val="autoZero"/>
        <c:auto val="1"/>
        <c:lblAlgn val="ctr"/>
        <c:lblOffset val="100"/>
        <c:noMultiLvlLbl val="0"/>
      </c:catAx>
      <c:valAx>
        <c:axId val="5448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9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 (version 1).xlsx]pivots!PivotTable6</c:name>
    <c:fmtId val="9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Sold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pivots!$E$16:$E$17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pivots!$D$18:$D$21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pivots!$E$18:$E$21</c:f>
              <c:numCache>
                <c:formatCode>General</c:formatCode>
                <c:ptCount val="3"/>
                <c:pt idx="0">
                  <c:v>7853</c:v>
                </c:pt>
                <c:pt idx="1">
                  <c:v>936</c:v>
                </c:pt>
                <c:pt idx="2">
                  <c:v>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B-48D1-B4D9-C48EB8C53A2B}"/>
            </c:ext>
          </c:extLst>
        </c:ser>
        <c:ser>
          <c:idx val="1"/>
          <c:order val="1"/>
          <c:tx>
            <c:strRef>
              <c:f>pivots!$F$16:$F$17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pivots!$D$18:$D$21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pivots!$F$18:$F$21</c:f>
              <c:numCache>
                <c:formatCode>General</c:formatCode>
                <c:ptCount val="3"/>
                <c:pt idx="0">
                  <c:v>2911</c:v>
                </c:pt>
                <c:pt idx="1">
                  <c:v>2292</c:v>
                </c:pt>
                <c:pt idx="2">
                  <c:v>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7B-48D1-B4D9-C48EB8C53A2B}"/>
            </c:ext>
          </c:extLst>
        </c:ser>
        <c:ser>
          <c:idx val="2"/>
          <c:order val="2"/>
          <c:tx>
            <c:strRef>
              <c:f>pivots!$G$16:$G$17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pivots!$D$18:$D$21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pivots!$G$18:$G$21</c:f>
              <c:numCache>
                <c:formatCode>General</c:formatCode>
                <c:ptCount val="3"/>
                <c:pt idx="0">
                  <c:v>5153</c:v>
                </c:pt>
                <c:pt idx="1">
                  <c:v>2820</c:v>
                </c:pt>
                <c:pt idx="2">
                  <c:v>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7B-48D1-B4D9-C48EB8C53A2B}"/>
            </c:ext>
          </c:extLst>
        </c:ser>
        <c:ser>
          <c:idx val="3"/>
          <c:order val="3"/>
          <c:tx>
            <c:strRef>
              <c:f>pivots!$H$16:$H$17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pivots!$D$18:$D$21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pivots!$H$18:$H$21</c:f>
              <c:numCache>
                <c:formatCode>General</c:formatCode>
                <c:ptCount val="3"/>
                <c:pt idx="0">
                  <c:v>4814</c:v>
                </c:pt>
                <c:pt idx="1">
                  <c:v>7563</c:v>
                </c:pt>
                <c:pt idx="2">
                  <c:v>2834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7B-48D1-B4D9-C48EB8C53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6957216"/>
        <c:axId val="406897808"/>
      </c:barChart>
      <c:catAx>
        <c:axId val="5369572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97808"/>
        <c:crosses val="autoZero"/>
        <c:auto val="1"/>
        <c:lblAlgn val="ctr"/>
        <c:lblOffset val="100"/>
        <c:noMultiLvlLbl val="0"/>
      </c:catAx>
      <c:valAx>
        <c:axId val="406897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95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 (version 1).xlsx]pivots!PivotTable7</c:name>
    <c:fmtId val="10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0.17083333333333334"/>
              <c:y val="0.12037037037037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E3330D9-57AB-4833-ADBC-B4A9566D418C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>
                    <a:solidFill>
                      <a:schemeClr val="tx1"/>
                    </a:solidFill>
                  </a:rPr>
                  <a:t>, </a:t>
                </a:r>
                <a:fld id="{0DD6F1F7-9A79-42E4-8E41-DB855DBFE2C9}" type="PERCENTAGE">
                  <a:rPr lang="en-US" baseline="0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tx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0.1125"/>
              <c:y val="-9.722222222222226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4F52154E-28EC-4F51-ACDB-A81C8A477509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45F0891C-7DC2-41B3-8498-44D219DD4F54}" type="PERCENTAGE">
                  <a:rPr lang="en-US" baseline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10833333333333335"/>
              <c:y val="-0.1620370370370370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FCD9C6CF-AC89-4162-B51E-64E77CAE7EC4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2179C4B0-1B6B-40D1-B30C-2D9F0C0504F6}" type="PERCENTAGE">
                  <a:rPr lang="en-US" baseline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22916666666666666"/>
              <c:y val="6.018518518518501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FFC9EA-196B-4ADC-9A39-74F139A5583F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BC94D233-A8F7-4C82-A216-66F851C063A4}" type="PERCENTAGE">
                  <a:rPr lang="en-US" baseline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0.1125"/>
              <c:y val="-9.722222222222226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4F52154E-28EC-4F51-ACDB-A81C8A477509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45F0891C-7DC2-41B3-8498-44D219DD4F54}" type="PERCENTAGE">
                  <a:rPr lang="en-US" baseline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0.17083333333333334"/>
              <c:y val="0.12037037037037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E3330D9-57AB-4833-ADBC-B4A9566D418C}" type="VALUE">
                  <a:rPr lang="en-US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>
                    <a:solidFill>
                      <a:schemeClr val="tx1"/>
                    </a:solidFill>
                  </a:rPr>
                  <a:t>, </a:t>
                </a:r>
                <a:fld id="{0DD6F1F7-9A79-42E4-8E41-DB855DBFE2C9}" type="PERCENTAGE">
                  <a:rPr lang="en-US" baseline="0">
                    <a:solidFill>
                      <a:schemeClr val="tx1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chemeClr val="tx1"/>
                  </a:solidFill>
                </a:endParaRPr>
              </a:p>
            </c:rich>
          </c:tx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22916666666666666"/>
              <c:y val="6.018518518518501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FFC9EA-196B-4ADC-9A39-74F139A5583F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BC94D233-A8F7-4C82-A216-66F851C063A4}" type="PERCENTAGE">
                  <a:rPr lang="en-US" baseline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10833333333333335"/>
              <c:y val="-0.1620370370370370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FCD9C6CF-AC89-4162-B51E-64E77CAE7EC4}" type="VALUE">
                  <a:rPr lang="en-US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 baseline="0">
                    <a:solidFill>
                      <a:sysClr val="windowText" lastClr="000000"/>
                    </a:solidFill>
                  </a:rPr>
                  <a:t>, </a:t>
                </a:r>
                <a:fld id="{2179C4B0-1B6B-40D1-B30C-2D9F0C0504F6}" type="PERCENTAGE">
                  <a:rPr lang="en-US" baseline="0">
                    <a:solidFill>
                      <a:sysClr val="windowText" lastClr="000000"/>
                    </a:solidFill>
                  </a:rPr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>
                  <a:solidFill>
                    <a:sysClr val="windowText" lastClr="000000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0.14851755516120929"/>
              <c:y val="-0.1523779577896640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4F52154E-28EC-4F51-ACDB-A81C8A477509}" type="VALUE">
                  <a:rPr lang="en-US" sz="600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r>
                  <a:rPr lang="en-US" sz="600" baseline="0">
                    <a:solidFill>
                      <a:sysClr val="windowText" lastClr="000000"/>
                    </a:solidFill>
                  </a:rPr>
                  <a:t>, </a:t>
                </a:r>
                <a:fld id="{45F0891C-7DC2-41B3-8498-44D219DD4F54}" type="PERCENTAGE">
                  <a:rPr lang="en-US" sz="600" baseline="0">
                    <a:solidFill>
                      <a:sysClr val="windowText" lastClr="000000"/>
                    </a:solidFill>
                  </a:rPr>
                  <a:pPr>
                    <a:defRPr/>
                  </a:pPr>
                  <a:t>[PERCENTAGE]</a:t>
                </a:fld>
                <a:endParaRPr lang="en-US" sz="600" baseline="0">
                  <a:solidFill>
                    <a:sysClr val="windowText" lastClr="000000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891695229760719"/>
                  <c:h val="0.27550417708259139"/>
                </c:manualLayout>
              </c15:layout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0.15791380022850476"/>
              <c:y val="0.1975888618079671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9E3330D9-57AB-4833-ADBC-B4A9566D418C}" type="VALUE">
                  <a:rPr lang="en-US" sz="600">
                    <a:solidFill>
                      <a:schemeClr val="tx1"/>
                    </a:solidFill>
                  </a:rPr>
                  <a:pPr>
                    <a:defRPr/>
                  </a:pPr>
                  <a:t>[VALUE]</a:t>
                </a:fld>
                <a:r>
                  <a:rPr lang="en-US" sz="600" baseline="0">
                    <a:solidFill>
                      <a:schemeClr val="tx1"/>
                    </a:solidFill>
                  </a:rPr>
                  <a:t>, </a:t>
                </a:r>
                <a:fld id="{0DD6F1F7-9A79-42E4-8E41-DB855DBFE2C9}" type="PERCENTAGE">
                  <a:rPr lang="en-US" sz="600" baseline="0">
                    <a:solidFill>
                      <a:schemeClr val="tx1"/>
                    </a:solidFill>
                  </a:rPr>
                  <a:pPr>
                    <a:defRPr/>
                  </a:pPr>
                  <a:t>[PERCENTAGE]</a:t>
                </a:fld>
                <a:endParaRPr lang="en-US" sz="600" baseline="0">
                  <a:solidFill>
                    <a:schemeClr val="tx1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431217638622165"/>
                  <c:h val="0.21676270453285987"/>
                </c:manualLayout>
              </c15:layout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0.21373054265827196"/>
              <c:y val="6.018508063185214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38FFC9EA-196B-4ADC-9A39-74F139A5583F}" type="VALUE">
                  <a:rPr lang="en-US" sz="600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r>
                  <a:rPr lang="en-US" sz="600" baseline="0">
                    <a:solidFill>
                      <a:sysClr val="windowText" lastClr="000000"/>
                    </a:solidFill>
                  </a:rPr>
                  <a:t>, </a:t>
                </a:r>
                <a:fld id="{BC94D233-A8F7-4C82-A216-66F851C063A4}" type="PERCENTAGE">
                  <a:rPr lang="en-US" sz="600" baseline="0">
                    <a:solidFill>
                      <a:sysClr val="windowText" lastClr="000000"/>
                    </a:solidFill>
                  </a:rPr>
                  <a:pPr>
                    <a:defRPr/>
                  </a:pPr>
                  <a:t>[PERCENTAGE]</a:t>
                </a:fld>
                <a:endParaRPr lang="en-US" sz="600" baseline="0">
                  <a:solidFill>
                    <a:sysClr val="windowText" lastClr="000000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7949858602555688"/>
                  <c:h val="0.27550417708259139"/>
                </c:manualLayout>
              </c15:layout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>
            <c:manualLayout>
              <c:x val="-5.6879451588594213E-2"/>
              <c:y val="-0.1730679364395517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FCD9C6CF-AC89-4162-B51E-64E77CAE7EC4}" type="VALUE">
                  <a:rPr lang="en-US" sz="600">
                    <a:solidFill>
                      <a:sysClr val="windowText" lastClr="000000"/>
                    </a:solidFill>
                  </a:rPr>
                  <a:pPr>
                    <a:defRPr/>
                  </a:pPr>
                  <a:t>[VALUE]</a:t>
                </a:fld>
                <a:r>
                  <a:rPr lang="en-US" sz="600" baseline="0">
                    <a:solidFill>
                      <a:sysClr val="windowText" lastClr="000000"/>
                    </a:solidFill>
                  </a:rPr>
                  <a:t>, </a:t>
                </a:r>
                <a:fld id="{2179C4B0-1B6B-40D1-B30C-2D9F0C0504F6}" type="PERCENTAGE">
                  <a:rPr lang="en-US" sz="600" baseline="0">
                    <a:solidFill>
                      <a:sysClr val="windowText" lastClr="000000"/>
                    </a:solidFill>
                  </a:rPr>
                  <a:pPr>
                    <a:defRPr/>
                  </a:pPr>
                  <a:t>[PERCENTAGE]</a:t>
                </a:fld>
                <a:endParaRPr lang="en-US" sz="600" baseline="0">
                  <a:solidFill>
                    <a:sysClr val="windowText" lastClr="000000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5153430407338077"/>
                  <c:h val="0.27550417708259139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pivots!$E$24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9B-449C-8BBF-D287C8E1AA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9B-449C-8BBF-D287C8E1AA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9B-449C-8BBF-D287C8E1AA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19B-449C-8BBF-D287C8E1AA3B}"/>
              </c:ext>
            </c:extLst>
          </c:dPt>
          <c:dLbls>
            <c:dLbl>
              <c:idx val="0"/>
              <c:layout>
                <c:manualLayout>
                  <c:x val="0.14851755516120929"/>
                  <c:y val="-0.15237795778966404"/>
                </c:manualLayout>
              </c:layout>
              <c:tx>
                <c:rich>
                  <a:bodyPr/>
                  <a:lstStyle/>
                  <a:p>
                    <a:fld id="{4F52154E-28EC-4F51-ACDB-A81C8A477509}" type="VALUE">
                      <a:rPr lang="en-US" sz="600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r>
                      <a:rPr lang="en-US" sz="600" baseline="0">
                        <a:solidFill>
                          <a:sysClr val="windowText" lastClr="000000"/>
                        </a:solidFill>
                      </a:rPr>
                      <a:t>, </a:t>
                    </a:r>
                    <a:fld id="{45F0891C-7DC2-41B3-8498-44D219DD4F54}" type="PERCENTAGE">
                      <a:rPr lang="en-US" sz="600" baseline="0">
                        <a:solidFill>
                          <a:sysClr val="windowText" lastClr="000000"/>
                        </a:solidFill>
                      </a:rPr>
                      <a:pPr/>
                      <a:t>[PERCENTAGE]</a:t>
                    </a:fld>
                    <a:endParaRPr lang="en-US" sz="6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91695229760719"/>
                      <c:h val="0.2755041770825913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19B-449C-8BBF-D287C8E1AA3B}"/>
                </c:ext>
              </c:extLst>
            </c:dLbl>
            <c:dLbl>
              <c:idx val="1"/>
              <c:layout>
                <c:manualLayout>
                  <c:x val="0.15791380022850476"/>
                  <c:y val="0.1975888618079671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3330D9-57AB-4833-ADBC-B4A9566D418C}" type="VALUE">
                      <a:rPr lang="en-US" sz="60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[VALUE]</a:t>
                    </a:fld>
                    <a:r>
                      <a:rPr lang="en-US" sz="600" baseline="0">
                        <a:solidFill>
                          <a:schemeClr val="tx1"/>
                        </a:solidFill>
                      </a:rPr>
                      <a:t>, </a:t>
                    </a:r>
                    <a:fld id="{0DD6F1F7-9A79-42E4-8E41-DB855DBFE2C9}" type="PERCENTAGE">
                      <a:rPr lang="en-US" sz="600" baseline="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[PERCENTAGE]</a:t>
                    </a:fld>
                    <a:endParaRPr lang="en-US" sz="600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31217638622165"/>
                      <c:h val="0.216762704532859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19B-449C-8BBF-D287C8E1AA3B}"/>
                </c:ext>
              </c:extLst>
            </c:dLbl>
            <c:dLbl>
              <c:idx val="2"/>
              <c:layout>
                <c:manualLayout>
                  <c:x val="-0.21373054265827196"/>
                  <c:y val="6.0185080631852142E-2"/>
                </c:manualLayout>
              </c:layout>
              <c:tx>
                <c:rich>
                  <a:bodyPr/>
                  <a:lstStyle/>
                  <a:p>
                    <a:fld id="{38FFC9EA-196B-4ADC-9A39-74F139A5583F}" type="VALUE">
                      <a:rPr lang="en-US" sz="600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r>
                      <a:rPr lang="en-US" sz="600" baseline="0">
                        <a:solidFill>
                          <a:sysClr val="windowText" lastClr="000000"/>
                        </a:solidFill>
                      </a:rPr>
                      <a:t>, </a:t>
                    </a:r>
                    <a:fld id="{BC94D233-A8F7-4C82-A216-66F851C063A4}" type="PERCENTAGE">
                      <a:rPr lang="en-US" sz="600" baseline="0">
                        <a:solidFill>
                          <a:sysClr val="windowText" lastClr="000000"/>
                        </a:solidFill>
                      </a:rPr>
                      <a:pPr/>
                      <a:t>[PERCENTAGE]</a:t>
                    </a:fld>
                    <a:endParaRPr lang="en-US" sz="6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949858602555688"/>
                      <c:h val="0.2755041770825913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19B-449C-8BBF-D287C8E1AA3B}"/>
                </c:ext>
              </c:extLst>
            </c:dLbl>
            <c:dLbl>
              <c:idx val="3"/>
              <c:layout>
                <c:manualLayout>
                  <c:x val="-5.6879451588594213E-2"/>
                  <c:y val="-0.17306793643955173"/>
                </c:manualLayout>
              </c:layout>
              <c:tx>
                <c:rich>
                  <a:bodyPr/>
                  <a:lstStyle/>
                  <a:p>
                    <a:fld id="{FCD9C6CF-AC89-4162-B51E-64E77CAE7EC4}" type="VALUE">
                      <a:rPr lang="en-US" sz="600">
                        <a:solidFill>
                          <a:sysClr val="windowText" lastClr="000000"/>
                        </a:solidFill>
                      </a:rPr>
                      <a:pPr/>
                      <a:t>[VALUE]</a:t>
                    </a:fld>
                    <a:r>
                      <a:rPr lang="en-US" sz="600" baseline="0">
                        <a:solidFill>
                          <a:sysClr val="windowText" lastClr="000000"/>
                        </a:solidFill>
                      </a:rPr>
                      <a:t>, </a:t>
                    </a:r>
                    <a:fld id="{2179C4B0-1B6B-40D1-B30C-2D9F0C0504F6}" type="PERCENTAGE">
                      <a:rPr lang="en-US" sz="600" baseline="0">
                        <a:solidFill>
                          <a:sysClr val="windowText" lastClr="000000"/>
                        </a:solidFill>
                      </a:rPr>
                      <a:pPr/>
                      <a:t>[PERCENTAGE]</a:t>
                    </a:fld>
                    <a:endParaRPr lang="en-US" sz="6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153430407338077"/>
                      <c:h val="0.2755041770825913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19B-449C-8BBF-D287C8E1AA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pivots!$D$25:$D$29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Unknown</c:v>
                </c:pt>
              </c:strCache>
            </c:strRef>
          </c:cat>
          <c:val>
            <c:numRef>
              <c:f>pivots!$E$25:$E$29</c:f>
              <c:numCache>
                <c:formatCode>General</c:formatCode>
                <c:ptCount val="4"/>
                <c:pt idx="0">
                  <c:v>12801</c:v>
                </c:pt>
                <c:pt idx="1">
                  <c:v>7507</c:v>
                </c:pt>
                <c:pt idx="2">
                  <c:v>10580</c:v>
                </c:pt>
                <c:pt idx="3">
                  <c:v>15211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9B-449C-8BBF-D287C8E1AA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 (version 1).xlsx]pivots!PivotTable8</c:name>
    <c:fmtId val="1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generated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pivots!$E$33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pivots!$D$34:$D$39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pivots!$E$34:$E$39</c:f>
              <c:numCache>
                <c:formatCode>General</c:formatCode>
                <c:ptCount val="5"/>
                <c:pt idx="0">
                  <c:v>102601.72388223567</c:v>
                </c:pt>
                <c:pt idx="1">
                  <c:v>119142.8157480693</c:v>
                </c:pt>
                <c:pt idx="2">
                  <c:v>81027.701224852935</c:v>
                </c:pt>
                <c:pt idx="3">
                  <c:v>137077.55100538101</c:v>
                </c:pt>
                <c:pt idx="4">
                  <c:v>137755.02687746932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0-4432-82E0-6E2757DA7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351760"/>
        <c:axId val="549348880"/>
      </c:lineChart>
      <c:catAx>
        <c:axId val="54935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48880"/>
        <c:crosses val="autoZero"/>
        <c:auto val="1"/>
        <c:lblAlgn val="ctr"/>
        <c:lblOffset val="100"/>
        <c:noMultiLvlLbl val="0"/>
      </c:catAx>
      <c:valAx>
        <c:axId val="5493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5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 (version 1).xlsx]Sheet3!PivotTable11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</a:t>
            </a:r>
            <a:r>
              <a:rPr lang="en-US" baseline="0"/>
              <a:t> times with Inspection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Sheet3!$A$4:$A$7</c:f>
              <c:strCache>
                <c:ptCount val="3"/>
                <c:pt idx="0">
                  <c:v>Fail</c:v>
                </c:pt>
                <c:pt idx="1">
                  <c:v>Pass</c:v>
                </c:pt>
                <c:pt idx="2">
                  <c:v>Pending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214</c:v>
                </c:pt>
                <c:pt idx="1">
                  <c:v>140</c:v>
                </c:pt>
                <c:pt idx="2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7-4204-AF2D-E2AA863E0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969024"/>
        <c:axId val="156405984"/>
      </c:areaChart>
      <c:catAx>
        <c:axId val="31896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05984"/>
        <c:crosses val="autoZero"/>
        <c:auto val="1"/>
        <c:lblAlgn val="ctr"/>
        <c:lblOffset val="100"/>
        <c:noMultiLvlLbl val="0"/>
      </c:catAx>
      <c:valAx>
        <c:axId val="15640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96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33132</xdr:colOff>
      <xdr:row>0</xdr:row>
      <xdr:rowOff>0</xdr:rowOff>
    </xdr:from>
    <xdr:to>
      <xdr:col>26</xdr:col>
      <xdr:colOff>49034</xdr:colOff>
      <xdr:row>52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DD5FD89-F047-B8F1-48F2-DD365E2D8DEA}"/>
            </a:ext>
          </a:extLst>
        </xdr:cNvPr>
        <xdr:cNvSpPr/>
      </xdr:nvSpPr>
      <xdr:spPr>
        <a:xfrm>
          <a:off x="1739349" y="0"/>
          <a:ext cx="14112902" cy="9551504"/>
        </a:xfrm>
        <a:prstGeom prst="rect">
          <a:avLst/>
        </a:prstGeom>
        <a:solidFill>
          <a:srgbClr val="F1EAD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15240</xdr:colOff>
      <xdr:row>52</xdr:row>
      <xdr:rowOff>83820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433C39D-FCF1-2971-310D-DAACD837046F}"/>
            </a:ext>
          </a:extLst>
        </xdr:cNvPr>
        <xdr:cNvSpPr/>
      </xdr:nvSpPr>
      <xdr:spPr>
        <a:xfrm>
          <a:off x="0" y="0"/>
          <a:ext cx="1722120" cy="9593580"/>
        </a:xfrm>
        <a:prstGeom prst="rect">
          <a:avLst/>
        </a:prstGeom>
        <a:solidFill>
          <a:srgbClr val="212842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7620</xdr:colOff>
      <xdr:row>1</xdr:row>
      <xdr:rowOff>75507</xdr:rowOff>
    </xdr:from>
    <xdr:to>
      <xdr:col>3</xdr:col>
      <xdr:colOff>0</xdr:colOff>
      <xdr:row>4</xdr:row>
      <xdr:rowOff>144087</xdr:rowOff>
    </xdr:to>
    <xdr:sp macro="" textlink="pivots!H4">
      <xdr:nvSpPr>
        <xdr:cNvPr id="4" name="TextBox 3">
          <a:extLst>
            <a:ext uri="{FF2B5EF4-FFF2-40B4-BE49-F238E27FC236}">
              <a16:creationId xmlns:a16="http://schemas.microsoft.com/office/drawing/2014/main" id="{5FDBFE47-7678-501D-B193-812C5D867791}"/>
            </a:ext>
          </a:extLst>
        </xdr:cNvPr>
        <xdr:cNvSpPr txBox="1"/>
      </xdr:nvSpPr>
      <xdr:spPr>
        <a:xfrm>
          <a:off x="281940" y="258387"/>
          <a:ext cx="142494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C4C6D41-3F90-4A2A-88B2-F9C6009E7CEC}" type="TxLink">
            <a:rPr lang="en-US" sz="1800" b="0" i="0" u="none" strike="noStrike">
              <a:gradFill>
                <a:gsLst>
                  <a:gs pos="86000">
                    <a:schemeClr val="tx2">
                      <a:lumMod val="75000"/>
                      <a:lumOff val="25000"/>
                    </a:schemeClr>
                  </a:gs>
                  <a:gs pos="100000">
                    <a:srgbClr val="6DBADC"/>
                  </a:gs>
                  <a:gs pos="16000">
                    <a:schemeClr val="bg2">
                      <a:lumMod val="90000"/>
                    </a:schemeClr>
                  </a:gs>
                  <a:gs pos="96000">
                    <a:srgbClr val="C00000"/>
                  </a:gs>
                  <a:gs pos="100000">
                    <a:schemeClr val="tx1">
                      <a:lumMod val="85000"/>
                      <a:lumOff val="15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/>
            <a:t>100</a:t>
          </a:fld>
          <a:endParaRPr lang="en-IN" sz="1800">
            <a:gradFill>
              <a:gsLst>
                <a:gs pos="86000">
                  <a:schemeClr val="tx2">
                    <a:lumMod val="75000"/>
                    <a:lumOff val="25000"/>
                  </a:schemeClr>
                </a:gs>
                <a:gs pos="100000">
                  <a:srgbClr val="6DBADC"/>
                </a:gs>
                <a:gs pos="16000">
                  <a:schemeClr val="bg2">
                    <a:lumMod val="90000"/>
                  </a:schemeClr>
                </a:gs>
                <a:gs pos="96000">
                  <a:srgbClr val="C00000"/>
                </a:gs>
                <a:gs pos="100000">
                  <a:schemeClr val="tx1">
                    <a:lumMod val="85000"/>
                    <a:lumOff val="15000"/>
                  </a:schemeClr>
                </a:gs>
                <a:gs pos="100000">
                  <a:schemeClr val="bg2">
                    <a:lumMod val="25000"/>
                  </a:schemeClr>
                </a:gs>
              </a:gsLst>
              <a:lin ang="5400000" scaled="1"/>
            </a:gradFill>
            <a:latin typeface="Arial Black" panose="020B0A0402010202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7620</xdr:colOff>
      <xdr:row>4</xdr:row>
      <xdr:rowOff>81741</xdr:rowOff>
    </xdr:from>
    <xdr:to>
      <xdr:col>3</xdr:col>
      <xdr:colOff>0</xdr:colOff>
      <xdr:row>7</xdr:row>
      <xdr:rowOff>150321</xdr:rowOff>
    </xdr:to>
    <xdr:sp macro="" textlink="pivots!I4">
      <xdr:nvSpPr>
        <xdr:cNvPr id="5" name="TextBox 4">
          <a:extLst>
            <a:ext uri="{FF2B5EF4-FFF2-40B4-BE49-F238E27FC236}">
              <a16:creationId xmlns:a16="http://schemas.microsoft.com/office/drawing/2014/main" id="{841D0DEB-BC78-4355-9207-C6C7F382710B}"/>
            </a:ext>
          </a:extLst>
        </xdr:cNvPr>
        <xdr:cNvSpPr txBox="1"/>
      </xdr:nvSpPr>
      <xdr:spPr>
        <a:xfrm>
          <a:off x="281940" y="813261"/>
          <a:ext cx="142494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22D01E8-C4E0-47E1-AD70-E27381AC8E78}" type="TxLink">
            <a:rPr lang="en-US" sz="1800" b="0" i="0" u="none" strike="noStrike">
              <a:gradFill>
                <a:gsLst>
                  <a:gs pos="86000">
                    <a:schemeClr val="tx2">
                      <a:lumMod val="75000"/>
                      <a:lumOff val="25000"/>
                    </a:schemeClr>
                  </a:gs>
                  <a:gs pos="100000">
                    <a:srgbClr val="6DBADC"/>
                  </a:gs>
                  <a:gs pos="16000">
                    <a:schemeClr val="bg2">
                      <a:lumMod val="90000"/>
                    </a:schemeClr>
                  </a:gs>
                  <a:gs pos="96000">
                    <a:srgbClr val="C00000"/>
                  </a:gs>
                  <a:gs pos="100000">
                    <a:schemeClr val="tx1">
                      <a:lumMod val="85000"/>
                      <a:lumOff val="15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/>
            <a:t>46,099</a:t>
          </a:fld>
          <a:endParaRPr lang="en-IN" sz="1800" b="0" i="0" u="none" strike="noStrike">
            <a:gradFill>
              <a:gsLst>
                <a:gs pos="86000">
                  <a:schemeClr val="tx2">
                    <a:lumMod val="75000"/>
                    <a:lumOff val="25000"/>
                  </a:schemeClr>
                </a:gs>
                <a:gs pos="100000">
                  <a:srgbClr val="6DBADC"/>
                </a:gs>
                <a:gs pos="16000">
                  <a:schemeClr val="bg2">
                    <a:lumMod val="90000"/>
                  </a:schemeClr>
                </a:gs>
                <a:gs pos="96000">
                  <a:srgbClr val="C00000"/>
                </a:gs>
                <a:gs pos="100000">
                  <a:schemeClr val="tx1">
                    <a:lumMod val="85000"/>
                    <a:lumOff val="15000"/>
                  </a:schemeClr>
                </a:gs>
                <a:gs pos="100000">
                  <a:schemeClr val="bg2">
                    <a:lumMod val="25000"/>
                  </a:schemeClr>
                </a:gs>
              </a:gsLst>
              <a:lin ang="5400000" scaled="1"/>
            </a:gradFill>
            <a:effectLst/>
            <a:latin typeface="Arial Black" panose="020B0A0402010202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7620</xdr:colOff>
      <xdr:row>7</xdr:row>
      <xdr:rowOff>87975</xdr:rowOff>
    </xdr:from>
    <xdr:to>
      <xdr:col>3</xdr:col>
      <xdr:colOff>0</xdr:colOff>
      <xdr:row>10</xdr:row>
      <xdr:rowOff>156555</xdr:rowOff>
    </xdr:to>
    <xdr:sp macro="" textlink="pivots!J4">
      <xdr:nvSpPr>
        <xdr:cNvPr id="6" name="TextBox 5">
          <a:extLst>
            <a:ext uri="{FF2B5EF4-FFF2-40B4-BE49-F238E27FC236}">
              <a16:creationId xmlns:a16="http://schemas.microsoft.com/office/drawing/2014/main" id="{BAFF990F-EE17-4C71-996A-57AF63E8774D}"/>
            </a:ext>
          </a:extLst>
        </xdr:cNvPr>
        <xdr:cNvSpPr txBox="1"/>
      </xdr:nvSpPr>
      <xdr:spPr>
        <a:xfrm>
          <a:off x="281940" y="1368135"/>
          <a:ext cx="142494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1E1F068-BD76-4D66-BC16-D8A2D3C4D7B3}" type="TxLink">
            <a:rPr lang="en-US" sz="1800" b="0" i="0" u="none" strike="noStrike">
              <a:gradFill>
                <a:gsLst>
                  <a:gs pos="86000">
                    <a:schemeClr val="tx2">
                      <a:lumMod val="75000"/>
                      <a:lumOff val="25000"/>
                    </a:schemeClr>
                  </a:gs>
                  <a:gs pos="100000">
                    <a:srgbClr val="6DBADC"/>
                  </a:gs>
                  <a:gs pos="16000">
                    <a:schemeClr val="bg2">
                      <a:lumMod val="90000"/>
                    </a:schemeClr>
                  </a:gs>
                  <a:gs pos="96000">
                    <a:srgbClr val="C00000"/>
                  </a:gs>
                  <a:gs pos="100000">
                    <a:schemeClr val="tx1">
                      <a:lumMod val="85000"/>
                      <a:lumOff val="15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/>
            <a:t>$577.6k</a:t>
          </a:fld>
          <a:endParaRPr lang="en-IN" sz="1800" b="0" i="0" u="none" strike="noStrike">
            <a:gradFill>
              <a:gsLst>
                <a:gs pos="86000">
                  <a:schemeClr val="tx2">
                    <a:lumMod val="75000"/>
                    <a:lumOff val="25000"/>
                  </a:schemeClr>
                </a:gs>
                <a:gs pos="100000">
                  <a:srgbClr val="6DBADC"/>
                </a:gs>
                <a:gs pos="16000">
                  <a:schemeClr val="bg2">
                    <a:lumMod val="90000"/>
                  </a:schemeClr>
                </a:gs>
                <a:gs pos="96000">
                  <a:srgbClr val="C00000"/>
                </a:gs>
                <a:gs pos="100000">
                  <a:schemeClr val="tx1">
                    <a:lumMod val="85000"/>
                    <a:lumOff val="15000"/>
                  </a:schemeClr>
                </a:gs>
                <a:gs pos="100000">
                  <a:schemeClr val="bg2">
                    <a:lumMod val="25000"/>
                  </a:schemeClr>
                </a:gs>
              </a:gsLst>
              <a:lin ang="5400000" scaled="1"/>
            </a:gradFill>
            <a:effectLst/>
            <a:latin typeface="Arial Black" panose="020B0A0402010202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7620</xdr:colOff>
      <xdr:row>10</xdr:row>
      <xdr:rowOff>94209</xdr:rowOff>
    </xdr:from>
    <xdr:to>
      <xdr:col>3</xdr:col>
      <xdr:colOff>0</xdr:colOff>
      <xdr:row>13</xdr:row>
      <xdr:rowOff>162789</xdr:rowOff>
    </xdr:to>
    <xdr:sp macro="" textlink="pivots!K4">
      <xdr:nvSpPr>
        <xdr:cNvPr id="7" name="TextBox 6">
          <a:extLst>
            <a:ext uri="{FF2B5EF4-FFF2-40B4-BE49-F238E27FC236}">
              <a16:creationId xmlns:a16="http://schemas.microsoft.com/office/drawing/2014/main" id="{3525935A-E3B1-413E-969E-6A09E3091739}"/>
            </a:ext>
          </a:extLst>
        </xdr:cNvPr>
        <xdr:cNvSpPr txBox="1"/>
      </xdr:nvSpPr>
      <xdr:spPr>
        <a:xfrm>
          <a:off x="281940" y="1923009"/>
          <a:ext cx="142494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6A2C951-3BC8-42D4-AB02-0BD830F3FAE0}" type="TxLink">
            <a:rPr lang="en-US" sz="1800" b="0" i="0" u="none" strike="noStrike">
              <a:gradFill>
                <a:gsLst>
                  <a:gs pos="86000">
                    <a:schemeClr val="tx2">
                      <a:lumMod val="75000"/>
                      <a:lumOff val="25000"/>
                    </a:schemeClr>
                  </a:gs>
                  <a:gs pos="100000">
                    <a:srgbClr val="6DBADC"/>
                  </a:gs>
                  <a:gs pos="16000">
                    <a:schemeClr val="bg2">
                      <a:lumMod val="90000"/>
                    </a:schemeClr>
                  </a:gs>
                  <a:gs pos="96000">
                    <a:srgbClr val="C00000"/>
                  </a:gs>
                  <a:gs pos="100000">
                    <a:schemeClr val="tx1">
                      <a:lumMod val="85000"/>
                      <a:lumOff val="15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/>
            <a:t>$572.3k</a:t>
          </a:fld>
          <a:endParaRPr lang="en-IN" sz="1800" b="0" i="0" u="none" strike="noStrike">
            <a:gradFill>
              <a:gsLst>
                <a:gs pos="86000">
                  <a:schemeClr val="tx2">
                    <a:lumMod val="75000"/>
                    <a:lumOff val="25000"/>
                  </a:schemeClr>
                </a:gs>
                <a:gs pos="100000">
                  <a:srgbClr val="6DBADC"/>
                </a:gs>
                <a:gs pos="16000">
                  <a:schemeClr val="bg2">
                    <a:lumMod val="90000"/>
                  </a:schemeClr>
                </a:gs>
                <a:gs pos="96000">
                  <a:srgbClr val="C00000"/>
                </a:gs>
                <a:gs pos="100000">
                  <a:schemeClr val="tx1">
                    <a:lumMod val="85000"/>
                    <a:lumOff val="15000"/>
                  </a:schemeClr>
                </a:gs>
                <a:gs pos="100000">
                  <a:schemeClr val="bg2">
                    <a:lumMod val="25000"/>
                  </a:schemeClr>
                </a:gs>
              </a:gsLst>
              <a:lin ang="5400000" scaled="1"/>
            </a:gradFill>
            <a:effectLst/>
            <a:latin typeface="Arial Black" panose="020B0A0402010202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7620</xdr:colOff>
      <xdr:row>13</xdr:row>
      <xdr:rowOff>100443</xdr:rowOff>
    </xdr:from>
    <xdr:to>
      <xdr:col>3</xdr:col>
      <xdr:colOff>0</xdr:colOff>
      <xdr:row>16</xdr:row>
      <xdr:rowOff>169023</xdr:rowOff>
    </xdr:to>
    <xdr:sp macro="" textlink="pivots!L4">
      <xdr:nvSpPr>
        <xdr:cNvPr id="8" name="TextBox 7">
          <a:extLst>
            <a:ext uri="{FF2B5EF4-FFF2-40B4-BE49-F238E27FC236}">
              <a16:creationId xmlns:a16="http://schemas.microsoft.com/office/drawing/2014/main" id="{D55E1371-3009-444F-8D7B-33D6B9F5022B}"/>
            </a:ext>
          </a:extLst>
        </xdr:cNvPr>
        <xdr:cNvSpPr txBox="1"/>
      </xdr:nvSpPr>
      <xdr:spPr>
        <a:xfrm>
          <a:off x="281940" y="2477883"/>
          <a:ext cx="142494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0F38324-8177-4FD6-AE8F-CBFBEC527431}" type="TxLink">
            <a:rPr lang="en-US" sz="1800" b="0" i="0" u="none" strike="noStrike">
              <a:gradFill>
                <a:gsLst>
                  <a:gs pos="86000">
                    <a:schemeClr val="tx2">
                      <a:lumMod val="75000"/>
                      <a:lumOff val="25000"/>
                    </a:schemeClr>
                  </a:gs>
                  <a:gs pos="100000">
                    <a:srgbClr val="6DBADC"/>
                  </a:gs>
                  <a:gs pos="16000">
                    <a:schemeClr val="bg2">
                      <a:lumMod val="90000"/>
                    </a:schemeClr>
                  </a:gs>
                  <a:gs pos="96000">
                    <a:srgbClr val="C00000"/>
                  </a:gs>
                  <a:gs pos="100000">
                    <a:schemeClr val="tx1">
                      <a:lumMod val="85000"/>
                      <a:lumOff val="15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/>
            <a:t>15.0</a:t>
          </a:fld>
          <a:endParaRPr lang="en-IN" sz="1800" b="0" i="0" u="none" strike="noStrike">
            <a:gradFill>
              <a:gsLst>
                <a:gs pos="86000">
                  <a:schemeClr val="tx2">
                    <a:lumMod val="75000"/>
                    <a:lumOff val="25000"/>
                  </a:schemeClr>
                </a:gs>
                <a:gs pos="100000">
                  <a:srgbClr val="6DBADC"/>
                </a:gs>
                <a:gs pos="16000">
                  <a:schemeClr val="bg2">
                    <a:lumMod val="90000"/>
                  </a:schemeClr>
                </a:gs>
                <a:gs pos="96000">
                  <a:srgbClr val="C00000"/>
                </a:gs>
                <a:gs pos="100000">
                  <a:schemeClr val="tx1">
                    <a:lumMod val="85000"/>
                    <a:lumOff val="15000"/>
                  </a:schemeClr>
                </a:gs>
                <a:gs pos="100000">
                  <a:schemeClr val="bg2">
                    <a:lumMod val="25000"/>
                  </a:schemeClr>
                </a:gs>
              </a:gsLst>
              <a:lin ang="5400000" scaled="1"/>
            </a:gradFill>
            <a:effectLst/>
            <a:latin typeface="Arial Black" panose="020B0A0402010202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7620</xdr:colOff>
      <xdr:row>16</xdr:row>
      <xdr:rowOff>106680</xdr:rowOff>
    </xdr:from>
    <xdr:to>
      <xdr:col>3</xdr:col>
      <xdr:colOff>0</xdr:colOff>
      <xdr:row>19</xdr:row>
      <xdr:rowOff>175260</xdr:rowOff>
    </xdr:to>
    <xdr:sp macro="" textlink="pivots!M4">
      <xdr:nvSpPr>
        <xdr:cNvPr id="9" name="TextBox 8">
          <a:extLst>
            <a:ext uri="{FF2B5EF4-FFF2-40B4-BE49-F238E27FC236}">
              <a16:creationId xmlns:a16="http://schemas.microsoft.com/office/drawing/2014/main" id="{C6AF127F-2CD8-4DD0-A55B-D8AC416A1117}"/>
            </a:ext>
          </a:extLst>
        </xdr:cNvPr>
        <xdr:cNvSpPr txBox="1"/>
      </xdr:nvSpPr>
      <xdr:spPr>
        <a:xfrm>
          <a:off x="281940" y="3032760"/>
          <a:ext cx="142494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B70EF60-9A51-4AAC-B32C-ADCEE144DB51}" type="TxLink">
            <a:rPr lang="en-US" sz="1800" b="0" i="0" u="none" strike="noStrike">
              <a:gradFill>
                <a:gsLst>
                  <a:gs pos="86000">
                    <a:schemeClr val="tx2">
                      <a:lumMod val="75000"/>
                      <a:lumOff val="25000"/>
                    </a:schemeClr>
                  </a:gs>
                  <a:gs pos="100000">
                    <a:srgbClr val="6DBADC"/>
                  </a:gs>
                  <a:gs pos="16000">
                    <a:schemeClr val="bg2">
                      <a:lumMod val="90000"/>
                    </a:schemeClr>
                  </a:gs>
                  <a:gs pos="96000">
                    <a:srgbClr val="C00000"/>
                  </a:gs>
                  <a:gs pos="100000">
                    <a:schemeClr val="tx1">
                      <a:lumMod val="85000"/>
                      <a:lumOff val="15000"/>
                    </a:schemeClr>
                  </a:gs>
                  <a:gs pos="100000">
                    <a:schemeClr val="bg2">
                      <a:lumMod val="25000"/>
                    </a:schemeClr>
                  </a:gs>
                </a:gsLst>
                <a:lin ang="5400000" scaled="1"/>
              </a:gradFill>
              <a:effectLst/>
              <a:latin typeface="Arial Black" panose="020B0A04020102020204" pitchFamily="34" charset="0"/>
              <a:ea typeface="ADLaM Display" panose="02010000000000000000" pitchFamily="2" charset="0"/>
              <a:cs typeface="ADLaM Display" panose="02010000000000000000" pitchFamily="2" charset="0"/>
            </a:rPr>
            <a:pPr marL="0" indent="0"/>
            <a:t>2.2</a:t>
          </a:fld>
          <a:endParaRPr lang="en-IN" sz="1800" b="0" i="0" u="none" strike="noStrike">
            <a:gradFill>
              <a:gsLst>
                <a:gs pos="86000">
                  <a:schemeClr val="tx2">
                    <a:lumMod val="75000"/>
                    <a:lumOff val="25000"/>
                  </a:schemeClr>
                </a:gs>
                <a:gs pos="100000">
                  <a:srgbClr val="6DBADC"/>
                </a:gs>
                <a:gs pos="16000">
                  <a:schemeClr val="bg2">
                    <a:lumMod val="90000"/>
                  </a:schemeClr>
                </a:gs>
                <a:gs pos="96000">
                  <a:srgbClr val="C00000"/>
                </a:gs>
                <a:gs pos="100000">
                  <a:schemeClr val="tx1">
                    <a:lumMod val="85000"/>
                    <a:lumOff val="15000"/>
                  </a:schemeClr>
                </a:gs>
                <a:gs pos="100000">
                  <a:schemeClr val="bg2">
                    <a:lumMod val="25000"/>
                  </a:schemeClr>
                </a:gs>
              </a:gsLst>
              <a:lin ang="5400000" scaled="1"/>
            </a:gradFill>
            <a:effectLst/>
            <a:latin typeface="Arial Black" panose="020B0A0402010202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7620</xdr:colOff>
      <xdr:row>0</xdr:row>
      <xdr:rowOff>144780</xdr:rowOff>
    </xdr:from>
    <xdr:to>
      <xdr:col>1</xdr:col>
      <xdr:colOff>1013460</xdr:colOff>
      <xdr:row>1</xdr:row>
      <xdr:rowOff>144780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93E197E-93B9-1F13-1E8B-00D48D8711A5}"/>
            </a:ext>
          </a:extLst>
        </xdr:cNvPr>
        <xdr:cNvSpPr txBox="1"/>
      </xdr:nvSpPr>
      <xdr:spPr>
        <a:xfrm>
          <a:off x="281940" y="144780"/>
          <a:ext cx="100584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ln>
                <a:noFill/>
              </a:ln>
              <a:solidFill>
                <a:schemeClr val="bg1"/>
              </a:solidFill>
            </a:rPr>
            <a:t>Count</a:t>
          </a:r>
          <a:r>
            <a:rPr lang="en-IN" sz="1100" baseline="0">
              <a:ln>
                <a:noFill/>
              </a:ln>
              <a:solidFill>
                <a:schemeClr val="bg1"/>
              </a:solidFill>
            </a:rPr>
            <a:t> of SKU</a:t>
          </a:r>
          <a:endParaRPr lang="en-IN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7620</xdr:colOff>
      <xdr:row>3</xdr:row>
      <xdr:rowOff>112914</xdr:rowOff>
    </xdr:from>
    <xdr:to>
      <xdr:col>1</xdr:col>
      <xdr:colOff>1013460</xdr:colOff>
      <xdr:row>4</xdr:row>
      <xdr:rowOff>112914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7FB3CDF-557A-4A49-976D-FD719F749773}"/>
            </a:ext>
          </a:extLst>
        </xdr:cNvPr>
        <xdr:cNvSpPr txBox="1"/>
      </xdr:nvSpPr>
      <xdr:spPr>
        <a:xfrm>
          <a:off x="281940" y="661554"/>
          <a:ext cx="100584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ln>
                <a:noFill/>
              </a:ln>
              <a:solidFill>
                <a:schemeClr val="bg1"/>
              </a:solidFill>
            </a:rPr>
            <a:t>Products</a:t>
          </a:r>
          <a:r>
            <a:rPr lang="en-IN" sz="1100" baseline="0">
              <a:ln>
                <a:noFill/>
              </a:ln>
              <a:solidFill>
                <a:schemeClr val="bg1"/>
              </a:solidFill>
            </a:rPr>
            <a:t> Sold</a:t>
          </a:r>
          <a:endParaRPr lang="en-IN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7620</xdr:colOff>
      <xdr:row>6</xdr:row>
      <xdr:rowOff>142008</xdr:rowOff>
    </xdr:from>
    <xdr:to>
      <xdr:col>1</xdr:col>
      <xdr:colOff>1013460</xdr:colOff>
      <xdr:row>7</xdr:row>
      <xdr:rowOff>142008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17CF55-1194-4F2A-951B-C225DCFAD21A}"/>
            </a:ext>
          </a:extLst>
        </xdr:cNvPr>
        <xdr:cNvSpPr txBox="1"/>
      </xdr:nvSpPr>
      <xdr:spPr>
        <a:xfrm>
          <a:off x="281940" y="1239288"/>
          <a:ext cx="100584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ln>
                <a:noFill/>
              </a:ln>
              <a:solidFill>
                <a:schemeClr val="bg1"/>
              </a:solidFill>
            </a:rPr>
            <a:t>Revenue</a:t>
          </a:r>
        </a:p>
      </xdr:txBody>
    </xdr:sp>
    <xdr:clientData/>
  </xdr:twoCellAnchor>
  <xdr:twoCellAnchor>
    <xdr:from>
      <xdr:col>1</xdr:col>
      <xdr:colOff>7620</xdr:colOff>
      <xdr:row>9</xdr:row>
      <xdr:rowOff>155862</xdr:rowOff>
    </xdr:from>
    <xdr:to>
      <xdr:col>1</xdr:col>
      <xdr:colOff>1013460</xdr:colOff>
      <xdr:row>10</xdr:row>
      <xdr:rowOff>155862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1768F82-5EDD-45C1-A0AC-F09B1A99EF31}"/>
            </a:ext>
          </a:extLst>
        </xdr:cNvPr>
        <xdr:cNvSpPr txBox="1"/>
      </xdr:nvSpPr>
      <xdr:spPr>
        <a:xfrm>
          <a:off x="281940" y="1801782"/>
          <a:ext cx="100584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n>
                <a:noFill/>
              </a:ln>
              <a:solidFill>
                <a:schemeClr val="bg1"/>
              </a:solidFill>
            </a:rPr>
            <a:t>Profit</a:t>
          </a:r>
          <a:endParaRPr lang="en-IN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7620</xdr:colOff>
      <xdr:row>12</xdr:row>
      <xdr:rowOff>146856</xdr:rowOff>
    </xdr:from>
    <xdr:to>
      <xdr:col>1</xdr:col>
      <xdr:colOff>1013460</xdr:colOff>
      <xdr:row>13</xdr:row>
      <xdr:rowOff>146856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357B928-5414-44B1-97CC-A84B87E66BA4}"/>
            </a:ext>
          </a:extLst>
        </xdr:cNvPr>
        <xdr:cNvSpPr txBox="1"/>
      </xdr:nvSpPr>
      <xdr:spPr>
        <a:xfrm>
          <a:off x="281940" y="2341416"/>
          <a:ext cx="100584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ln>
                <a:noFill/>
              </a:ln>
              <a:solidFill>
                <a:schemeClr val="bg1"/>
              </a:solidFill>
            </a:rPr>
            <a:t>Avg.</a:t>
          </a:r>
          <a:r>
            <a:rPr lang="en-IN" sz="1100" baseline="0">
              <a:ln>
                <a:noFill/>
              </a:ln>
              <a:solidFill>
                <a:schemeClr val="bg1"/>
              </a:solidFill>
            </a:rPr>
            <a:t> lead time</a:t>
          </a:r>
          <a:endParaRPr lang="en-IN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7620</xdr:colOff>
      <xdr:row>15</xdr:row>
      <xdr:rowOff>168330</xdr:rowOff>
    </xdr:from>
    <xdr:to>
      <xdr:col>2</xdr:col>
      <xdr:colOff>137160</xdr:colOff>
      <xdr:row>16</xdr:row>
      <xdr:rowOff>168330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C3D923B-0C0A-4C79-9007-BA5B4AF6D289}"/>
            </a:ext>
          </a:extLst>
        </xdr:cNvPr>
        <xdr:cNvSpPr txBox="1"/>
      </xdr:nvSpPr>
      <xdr:spPr>
        <a:xfrm>
          <a:off x="281940" y="2911530"/>
          <a:ext cx="128778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ln>
                <a:noFill/>
              </a:ln>
              <a:solidFill>
                <a:schemeClr val="bg1"/>
              </a:solidFill>
            </a:rPr>
            <a:t>Avg</a:t>
          </a:r>
          <a:r>
            <a:rPr lang="en-IN" sz="1100" baseline="0">
              <a:ln>
                <a:noFill/>
              </a:ln>
              <a:solidFill>
                <a:schemeClr val="bg1"/>
              </a:solidFill>
            </a:rPr>
            <a:t>. defect Rate</a:t>
          </a:r>
          <a:endParaRPr lang="en-IN" sz="1100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182880</xdr:colOff>
      <xdr:row>0</xdr:row>
      <xdr:rowOff>152400</xdr:rowOff>
    </xdr:from>
    <xdr:to>
      <xdr:col>10</xdr:col>
      <xdr:colOff>297180</xdr:colOff>
      <xdr:row>14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C8BC9D7-5676-4C97-B7C1-80F7C0A60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179516</xdr:colOff>
      <xdr:row>0</xdr:row>
      <xdr:rowOff>151075</xdr:rowOff>
    </xdr:from>
    <xdr:to>
      <xdr:col>25</xdr:col>
      <xdr:colOff>356785</xdr:colOff>
      <xdr:row>14</xdr:row>
      <xdr:rowOff>74875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332F3FB-46B8-42BE-B47E-BE86DF09B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521845</xdr:colOff>
      <xdr:row>0</xdr:row>
      <xdr:rowOff>165965</xdr:rowOff>
    </xdr:from>
    <xdr:to>
      <xdr:col>17</xdr:col>
      <xdr:colOff>559945</xdr:colOff>
      <xdr:row>14</xdr:row>
      <xdr:rowOff>80805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5203566-232F-0EBF-6362-E26D219513A6}"/>
            </a:ext>
          </a:extLst>
        </xdr:cNvPr>
        <xdr:cNvSpPr/>
      </xdr:nvSpPr>
      <xdr:spPr>
        <a:xfrm>
          <a:off x="6508988" y="165965"/>
          <a:ext cx="4317023" cy="249391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99731</xdr:colOff>
          <xdr:row>3</xdr:row>
          <xdr:rowOff>124851</xdr:rowOff>
        </xdr:from>
        <xdr:to>
          <xdr:col>17</xdr:col>
          <xdr:colOff>379800</xdr:colOff>
          <xdr:row>10</xdr:row>
          <xdr:rowOff>155331</xdr:rowOff>
        </xdr:to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7A87CD01-B2A0-E79B-BD49-4C0C56651FA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H$4:$L$7" spid="_x0000_s103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6698149" y="677510"/>
              <a:ext cx="3947717" cy="13200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166315</xdr:colOff>
      <xdr:row>15</xdr:row>
      <xdr:rowOff>107012</xdr:rowOff>
    </xdr:from>
    <xdr:to>
      <xdr:col>10</xdr:col>
      <xdr:colOff>323021</xdr:colOff>
      <xdr:row>30</xdr:row>
      <xdr:rowOff>49696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7AF027E-EFD3-4006-896E-6486AC5C82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57978</xdr:colOff>
      <xdr:row>22</xdr:row>
      <xdr:rowOff>107673</xdr:rowOff>
    </xdr:from>
    <xdr:to>
      <xdr:col>9</xdr:col>
      <xdr:colOff>66262</xdr:colOff>
      <xdr:row>28</xdr:row>
      <xdr:rowOff>165651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C1D3457-29E6-495F-A7A8-5E71318D0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530086</xdr:colOff>
      <xdr:row>15</xdr:row>
      <xdr:rowOff>107012</xdr:rowOff>
    </xdr:from>
    <xdr:to>
      <xdr:col>18</xdr:col>
      <xdr:colOff>660</xdr:colOff>
      <xdr:row>30</xdr:row>
      <xdr:rowOff>24848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3FCED6F-72E4-4D1D-85F6-9238E08B9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173935</xdr:colOff>
      <xdr:row>15</xdr:row>
      <xdr:rowOff>99391</xdr:rowOff>
    </xdr:from>
    <xdr:to>
      <xdr:col>25</xdr:col>
      <xdr:colOff>323022</xdr:colOff>
      <xdr:row>30</xdr:row>
      <xdr:rowOff>24847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801EB99-44DE-4D25-9268-565E24FDD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44.819954282408" createdVersion="8" refreshedVersion="8" minRefreshableVersion="3" recordCount="100" xr:uid="{D0A04634-0FBD-4FDB-B6B2-A301FF615A9B}">
  <cacheSource type="worksheet">
    <worksheetSource ref="A1:AA101" sheet="supply_chain_data"/>
  </cacheSource>
  <cacheFields count="27">
    <cacheField name="Product type" numFmtId="0">
      <sharedItems count="3">
        <s v="haircare"/>
        <s v="skincare"/>
        <s v="cosmetics"/>
      </sharedItems>
    </cacheField>
    <cacheField name="SKU" numFmtId="0">
      <sharedItems count="100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</sharedItems>
    </cacheField>
    <cacheField name="Price" numFmtId="0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 count="96">
        <n v="802"/>
        <n v="736"/>
        <n v="8"/>
        <n v="83"/>
        <n v="871"/>
        <n v="147"/>
        <n v="65"/>
        <n v="426"/>
        <n v="150"/>
        <n v="980"/>
        <n v="996"/>
        <n v="960"/>
        <n v="336"/>
        <n v="249"/>
        <n v="562"/>
        <n v="469"/>
        <n v="280"/>
        <n v="126"/>
        <n v="620"/>
        <n v="187"/>
        <n v="320"/>
        <n v="601"/>
        <n v="884"/>
        <n v="391"/>
        <n v="209"/>
        <n v="142"/>
        <n v="353"/>
        <n v="352"/>
        <n v="394"/>
        <n v="253"/>
        <n v="327"/>
        <n v="168"/>
        <n v="781"/>
        <n v="616"/>
        <n v="602"/>
        <n v="449"/>
        <n v="963"/>
        <n v="705"/>
        <n v="176"/>
        <n v="933"/>
        <n v="556"/>
        <n v="155"/>
        <n v="598"/>
        <n v="919"/>
        <n v="24"/>
        <n v="859"/>
        <n v="910"/>
        <n v="29"/>
        <n v="99"/>
        <n v="633"/>
        <n v="154"/>
        <n v="820"/>
        <n v="242"/>
        <n v="622"/>
        <n v="701"/>
        <n v="93"/>
        <n v="227"/>
        <n v="896"/>
        <n v="484"/>
        <n v="380"/>
        <n v="117"/>
        <n v="270"/>
        <n v="246"/>
        <n v="134"/>
        <n v="457"/>
        <n v="704"/>
        <n v="513"/>
        <n v="163"/>
        <n v="511"/>
        <n v="32"/>
        <n v="637"/>
        <n v="478"/>
        <n v="375"/>
        <n v="904"/>
        <n v="106"/>
        <n v="241"/>
        <n v="359"/>
        <n v="946"/>
        <n v="198"/>
        <n v="872"/>
        <n v="774"/>
        <n v="663"/>
        <n v="618"/>
        <n v="25"/>
        <n v="223"/>
        <n v="79"/>
        <n v="737"/>
        <n v="916"/>
        <n v="276"/>
        <n v="114"/>
        <n v="987"/>
        <n v="672"/>
        <n v="324"/>
        <n v="62"/>
        <n v="913"/>
        <n v="627"/>
      </sharedItems>
    </cacheField>
    <cacheField name="Revenue generated" numFmtId="0">
      <sharedItems containsSemiMixedTypes="0" containsString="0" containsNumber="1" minValue="1061.6185230132801" maxValue="9866.4654579796897"/>
    </cacheField>
    <cacheField name="Customer demographics" numFmtId="0">
      <sharedItems count="4">
        <s v="Non-binary"/>
        <s v="Female"/>
        <s v="Unknown"/>
        <s v="Male"/>
      </sharedItems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 count="10">
        <n v="4"/>
        <n v="2"/>
        <n v="6"/>
        <n v="8"/>
        <n v="3"/>
        <n v="1"/>
        <n v="7"/>
        <n v="9"/>
        <n v="5"/>
        <n v="10"/>
      </sharedItems>
    </cacheField>
    <cacheField name="Shipping carriers" numFmtId="0">
      <sharedItems/>
    </cacheField>
    <cacheField name="Shipping costs" numFmtId="0">
      <sharedItems containsSemiMixedTypes="0" containsString="0" containsNumber="1" minValue="1.0134865660958901" maxValue="9.9298162452772498"/>
    </cacheField>
    <cacheField name="Supplier name" numFmtId="0">
      <sharedItems/>
    </cacheField>
    <cacheField name="Location" numFmtId="0">
      <sharedItems count="5">
        <s v="Mumbai"/>
        <s v="Kolkata"/>
        <s v="Delhi"/>
        <s v="Bangalore"/>
        <s v="Chennai"/>
      </sharedItems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850685695870601" maxValue="99.466108603599096"/>
    </cacheField>
    <cacheField name="Inspection results" numFmtId="0">
      <sharedItems count="3">
        <s v="Pending"/>
        <s v="Fail"/>
        <s v="Pass"/>
      </sharedItems>
    </cacheField>
    <cacheField name="Defect rates" numFmtId="0">
      <sharedItems containsSemiMixedTypes="0" containsString="0" containsNumber="1" minValue="1.8607567631014899E-2" maxValue="4.9392552886209398"/>
    </cacheField>
    <cacheField name="Transportation modes" numFmtId="0">
      <sharedItems count="4">
        <s v="Road"/>
        <s v="Air"/>
        <s v="Rail"/>
        <s v="Sea"/>
      </sharedItems>
    </cacheField>
    <cacheField name="Routes" numFmtId="0">
      <sharedItems/>
    </cacheField>
    <cacheField name="Costs" numFmtId="0">
      <sharedItems containsSemiMixedTypes="0" containsString="0" containsNumber="1" minValue="103.916247960704" maxValue="997.41345013319403"/>
    </cacheField>
    <cacheField name="Profit" numFmtId="0">
      <sharedItems containsSemiMixedTypes="0" containsString="0" containsNumber="1" minValue="1052.424038172893" maxValue="9847.4921290771726"/>
    </cacheField>
    <cacheField name="Average lead time" numFmtId="0">
      <sharedItems containsSemiMixedTypes="0" containsString="0" containsNumber="1" minValue="4.5" maxValue="16.542857142857144"/>
    </cacheField>
    <cacheField name="Average Defect Rate" numFmtId="0">
      <sharedItems containsSemiMixedTypes="0" containsString="0" containsNumber="1" minValue="0.34602729070550298" maxValue="2.625608744064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69.808005542115694"/>
    <n v="55"/>
    <x v="0"/>
    <n v="8661.9967923923796"/>
    <x v="0"/>
    <n v="58"/>
    <n v="7"/>
    <n v="96"/>
    <x v="0"/>
    <s v="Carrier B"/>
    <n v="2.9565721394308002"/>
    <s v="Supplier 3"/>
    <x v="0"/>
    <n v="29"/>
    <n v="215"/>
    <n v="29"/>
    <n v="46.279879240508301"/>
    <x v="0"/>
    <n v="0.226410360849925"/>
    <x v="0"/>
    <s v="Route B"/>
    <n v="187.75207545920301"/>
    <n v="8612.7603410124411"/>
    <n v="15.96"/>
    <n v="2.2771579927396073"/>
  </r>
  <r>
    <x v="1"/>
    <x v="1"/>
    <n v="14.8435232750843"/>
    <n v="95"/>
    <x v="1"/>
    <n v="7460.9000654458396"/>
    <x v="1"/>
    <n v="53"/>
    <n v="30"/>
    <n v="37"/>
    <x v="1"/>
    <s v="Carrier A"/>
    <n v="9.7165747714313095"/>
    <s v="Supplier 3"/>
    <x v="0"/>
    <n v="23"/>
    <n v="517"/>
    <n v="30"/>
    <n v="33.616768953730002"/>
    <x v="0"/>
    <n v="4.8540680263886999"/>
    <x v="0"/>
    <s v="Route B"/>
    <n v="503.06557914966902"/>
    <n v="7417.5667217206783"/>
    <n v="16.050505050505052"/>
    <n v="2.2978726152839473"/>
  </r>
  <r>
    <x v="0"/>
    <x v="2"/>
    <n v="11.319683293090501"/>
    <n v="34"/>
    <x v="2"/>
    <n v="9577.7496258687297"/>
    <x v="2"/>
    <n v="1"/>
    <n v="10"/>
    <n v="88"/>
    <x v="1"/>
    <s v="Carrier B"/>
    <n v="8.0544792617321495"/>
    <s v="Supplier 1"/>
    <x v="0"/>
    <n v="12"/>
    <n v="971"/>
    <n v="27"/>
    <n v="30.6880193482842"/>
    <x v="0"/>
    <n v="4.5805926191992201"/>
    <x v="1"/>
    <s v="Route C"/>
    <n v="141.920281771519"/>
    <n v="9539.007127258712"/>
    <n v="15.908163265306122"/>
    <n v="2.2717889886400213"/>
  </r>
  <r>
    <x v="1"/>
    <x v="3"/>
    <n v="61.1633430164377"/>
    <n v="68"/>
    <x v="3"/>
    <n v="7766.8364256852301"/>
    <x v="0"/>
    <n v="23"/>
    <n v="13"/>
    <n v="59"/>
    <x v="2"/>
    <s v="Carrier C"/>
    <n v="1.7295685635434199"/>
    <s v="Supplier 5"/>
    <x v="1"/>
    <n v="24"/>
    <n v="937"/>
    <n v="18"/>
    <n v="35.624741397125"/>
    <x v="1"/>
    <n v="4.7466486206477496"/>
    <x v="2"/>
    <s v="Route A"/>
    <n v="254.776159219286"/>
    <n v="7729.4821157245615"/>
    <n v="15.969072164948454"/>
    <n v="2.2479868893559063"/>
  </r>
  <r>
    <x v="1"/>
    <x v="4"/>
    <n v="4.8054960363458896"/>
    <n v="26"/>
    <x v="4"/>
    <n v="2686.50515156744"/>
    <x v="0"/>
    <n v="5"/>
    <n v="3"/>
    <n v="56"/>
    <x v="3"/>
    <s v="Carrier A"/>
    <n v="3.8905479158706702"/>
    <s v="Supplier 1"/>
    <x v="2"/>
    <n v="5"/>
    <n v="414"/>
    <n v="3"/>
    <n v="92.065160598712794"/>
    <x v="1"/>
    <n v="3.1455795228330001"/>
    <x v="1"/>
    <s v="Route A"/>
    <n v="923.44063171192204"/>
    <n v="2590.5494430528565"/>
    <n v="16"/>
    <n v="2.2219591629882829"/>
  </r>
  <r>
    <x v="0"/>
    <x v="5"/>
    <n v="1.6999760138659299"/>
    <n v="87"/>
    <x v="5"/>
    <n v="2828.3487459757498"/>
    <x v="0"/>
    <n v="90"/>
    <n v="27"/>
    <n v="66"/>
    <x v="4"/>
    <s v="Carrier B"/>
    <n v="4.4440988643822896"/>
    <s v="Supplier 4"/>
    <x v="3"/>
    <n v="10"/>
    <n v="104"/>
    <n v="17"/>
    <n v="56.766475557431797"/>
    <x v="1"/>
    <n v="2.7791935115711599"/>
    <x v="0"/>
    <s v="Route A"/>
    <n v="235.461236735537"/>
    <n v="2767.1381715539355"/>
    <n v="16.13684210526316"/>
    <n v="2.2122368434109694"/>
  </r>
  <r>
    <x v="1"/>
    <x v="6"/>
    <n v="4.0783328631079403"/>
    <n v="48"/>
    <x v="6"/>
    <n v="7823.4765595317303"/>
    <x v="3"/>
    <n v="11"/>
    <n v="15"/>
    <n v="58"/>
    <x v="3"/>
    <s v="Carrier C"/>
    <n v="3.8807633029519999"/>
    <s v="Supplier 3"/>
    <x v="1"/>
    <n v="14"/>
    <n v="314"/>
    <n v="24"/>
    <n v="1.0850685695870601"/>
    <x v="0"/>
    <n v="1.0009106193041299"/>
    <x v="3"/>
    <s v="Route A"/>
    <n v="134.36909686103101"/>
    <n v="7818.5107276591916"/>
    <n v="16.021276595744681"/>
    <n v="2.2062053894943716"/>
  </r>
  <r>
    <x v="2"/>
    <x v="7"/>
    <n v="42.958384382459997"/>
    <n v="59"/>
    <x v="7"/>
    <n v="8496.1038130898305"/>
    <x v="1"/>
    <n v="93"/>
    <n v="17"/>
    <n v="11"/>
    <x v="5"/>
    <s v="Carrier B"/>
    <n v="2.3483387844177801"/>
    <s v="Supplier 4"/>
    <x v="3"/>
    <n v="22"/>
    <n v="564"/>
    <n v="1"/>
    <n v="99.466108603599096"/>
    <x v="1"/>
    <n v="0.39817718685065001"/>
    <x v="0"/>
    <s v="Route C"/>
    <n v="802.05631181755803"/>
    <n v="8394.2893657018139"/>
    <n v="16.032258064516128"/>
    <n v="2.2191655483136214"/>
  </r>
  <r>
    <x v="2"/>
    <x v="8"/>
    <n v="68.717596748527299"/>
    <n v="78"/>
    <x v="8"/>
    <n v="7517.3632106311197"/>
    <x v="1"/>
    <n v="5"/>
    <n v="10"/>
    <n v="15"/>
    <x v="6"/>
    <s v="Carrier C"/>
    <n v="3.4047338570830199"/>
    <s v="Supplier 4"/>
    <x v="0"/>
    <n v="13"/>
    <n v="769"/>
    <n v="8"/>
    <n v="11.423027139565599"/>
    <x v="0"/>
    <n v="2.7098626911099601"/>
    <x v="3"/>
    <s v="Route B"/>
    <n v="505.55713422546398"/>
    <n v="7502.5354496344717"/>
    <n v="16.021739130434781"/>
    <n v="2.2389589000686541"/>
  </r>
  <r>
    <x v="1"/>
    <x v="9"/>
    <n v="64.0157329412785"/>
    <n v="35"/>
    <x v="9"/>
    <n v="4971.1459875855498"/>
    <x v="2"/>
    <n v="14"/>
    <n v="27"/>
    <n v="83"/>
    <x v="5"/>
    <s v="Carrier A"/>
    <n v="7.1666452910482104"/>
    <s v="Supplier 2"/>
    <x v="4"/>
    <n v="29"/>
    <n v="963"/>
    <n v="23"/>
    <n v="47.957601634951502"/>
    <x v="0"/>
    <n v="3.8446144787675798"/>
    <x v="2"/>
    <s v="Route B"/>
    <n v="995.92946149864099"/>
    <n v="4916.0217406595502"/>
    <n v="16.087912087912088"/>
    <n v="2.2337841331341339"/>
  </r>
  <r>
    <x v="1"/>
    <x v="10"/>
    <n v="15.707795681912099"/>
    <n v="11"/>
    <x v="10"/>
    <n v="2330.9658020919401"/>
    <x v="0"/>
    <n v="51"/>
    <n v="13"/>
    <n v="80"/>
    <x v="1"/>
    <s v="Carrier C"/>
    <n v="8.6732112112786108"/>
    <s v="Supplier 5"/>
    <x v="1"/>
    <n v="18"/>
    <n v="830"/>
    <n v="5"/>
    <n v="96.527352785310896"/>
    <x v="2"/>
    <n v="1.72731392835594"/>
    <x v="0"/>
    <s v="Route B"/>
    <n v="806.10317770292295"/>
    <n v="2225.7652380953505"/>
    <n v="15.966666666666667"/>
    <n v="2.2158860181826512"/>
  </r>
  <r>
    <x v="1"/>
    <x v="11"/>
    <n v="90.635459982288594"/>
    <n v="95"/>
    <x v="11"/>
    <n v="6099.9441155814502"/>
    <x v="1"/>
    <n v="46"/>
    <n v="23"/>
    <n v="60"/>
    <x v="5"/>
    <s v="Carrier A"/>
    <n v="4.5239431243166601"/>
    <s v="Supplier 2"/>
    <x v="1"/>
    <n v="28"/>
    <n v="362"/>
    <n v="11"/>
    <n v="27.5923630866636"/>
    <x v="0"/>
    <n v="2.1169821372994301E-2"/>
    <x v="1"/>
    <s v="Route A"/>
    <n v="126.72303340940699"/>
    <n v="6067.8278093704703"/>
    <n v="16"/>
    <n v="2.2213755922256477"/>
  </r>
  <r>
    <x v="0"/>
    <x v="12"/>
    <n v="71.213389075359999"/>
    <n v="41"/>
    <x v="12"/>
    <n v="2873.74144602144"/>
    <x v="2"/>
    <n v="100"/>
    <n v="30"/>
    <n v="85"/>
    <x v="0"/>
    <s v="Carrier A"/>
    <n v="1.32527401018452"/>
    <s v="Supplier 4"/>
    <x v="1"/>
    <n v="3"/>
    <n v="563"/>
    <n v="3"/>
    <n v="32.321286213424003"/>
    <x v="1"/>
    <n v="2.1612537475559099"/>
    <x v="0"/>
    <s v="Route B"/>
    <n v="402.96878907376998"/>
    <n v="2840.0948857978315"/>
    <n v="15.920454545454545"/>
    <n v="2.2463779305307918"/>
  </r>
  <r>
    <x v="1"/>
    <x v="13"/>
    <n v="16.160393317379899"/>
    <n v="5"/>
    <x v="13"/>
    <n v="4052.7384162378598"/>
    <x v="3"/>
    <n v="80"/>
    <n v="8"/>
    <n v="48"/>
    <x v="7"/>
    <s v="Carrier A"/>
    <n v="9.5372830611083295"/>
    <s v="Supplier 5"/>
    <x v="3"/>
    <n v="23"/>
    <n v="173"/>
    <n v="10"/>
    <n v="97.829050110173199"/>
    <x v="0"/>
    <n v="1.63107423007153"/>
    <x v="0"/>
    <s v="Route B"/>
    <n v="547.24100516096803"/>
    <n v="3945.3720830665784"/>
    <n v="15.758620689655173"/>
    <n v="2.2473563694155607"/>
  </r>
  <r>
    <x v="1"/>
    <x v="14"/>
    <n v="99.171328638624104"/>
    <n v="26"/>
    <x v="14"/>
    <n v="8653.5709264697998"/>
    <x v="0"/>
    <n v="54"/>
    <n v="29"/>
    <n v="78"/>
    <x v="8"/>
    <s v="Carrier B"/>
    <n v="2.0397701894493299"/>
    <s v="Supplier 1"/>
    <x v="1"/>
    <n v="25"/>
    <n v="558"/>
    <n v="14"/>
    <n v="5.7914366298629796"/>
    <x v="0"/>
    <n v="0.100682851565093"/>
    <x v="1"/>
    <s v="Route B"/>
    <n v="929.23528996088896"/>
    <n v="8645.739719650488"/>
    <n v="15.848837209302326"/>
    <n v="2.254522440803282"/>
  </r>
  <r>
    <x v="1"/>
    <x v="15"/>
    <n v="36.989244928626903"/>
    <n v="94"/>
    <x v="15"/>
    <n v="5442.0867853976697"/>
    <x v="0"/>
    <n v="9"/>
    <n v="8"/>
    <n v="69"/>
    <x v="6"/>
    <s v="Carrier B"/>
    <n v="2.4220397232752"/>
    <s v="Supplier 1"/>
    <x v="3"/>
    <n v="14"/>
    <n v="580"/>
    <n v="7"/>
    <n v="97.121281751474299"/>
    <x v="2"/>
    <n v="2.2644057611985402"/>
    <x v="3"/>
    <s v="Route B"/>
    <n v="127.861800001625"/>
    <n v="5342.5434639229206"/>
    <n v="15.694117647058823"/>
    <n v="2.2798617300884376"/>
  </r>
  <r>
    <x v="1"/>
    <x v="16"/>
    <n v="7.5471721097912701"/>
    <n v="74"/>
    <x v="16"/>
    <n v="6453.7979681762799"/>
    <x v="1"/>
    <n v="2"/>
    <n v="5"/>
    <n v="78"/>
    <x v="5"/>
    <s v="Carrier B"/>
    <n v="4.1913245857054999"/>
    <s v="Supplier 1"/>
    <x v="3"/>
    <n v="3"/>
    <n v="399"/>
    <n v="21"/>
    <n v="77.106342497849994"/>
    <x v="2"/>
    <n v="1.01256308925804"/>
    <x v="1"/>
    <s v="Route A"/>
    <n v="865.52577977123997"/>
    <n v="6372.5003010927239"/>
    <n v="15.785714285714286"/>
    <n v="2.2800457297180792"/>
  </r>
  <r>
    <x v="2"/>
    <x v="17"/>
    <n v="81.462534369237005"/>
    <n v="82"/>
    <x v="17"/>
    <n v="2629.39643484526"/>
    <x v="1"/>
    <n v="45"/>
    <n v="17"/>
    <n v="85"/>
    <x v="7"/>
    <s v="Carrier C"/>
    <n v="3.5854189582323399"/>
    <s v="Supplier 1"/>
    <x v="4"/>
    <n v="7"/>
    <n v="453"/>
    <n v="16"/>
    <n v="47.679680368355299"/>
    <x v="1"/>
    <n v="0.102020754918176"/>
    <x v="1"/>
    <s v="Route C"/>
    <n v="670.93439079241"/>
    <n v="2578.1313355186726"/>
    <n v="15.91566265060241"/>
    <n v="2.2953166049043445"/>
  </r>
  <r>
    <x v="0"/>
    <x v="18"/>
    <n v="36.4436277704609"/>
    <n v="23"/>
    <x v="18"/>
    <n v="9364.6735050761708"/>
    <x v="2"/>
    <n v="10"/>
    <n v="10"/>
    <n v="46"/>
    <x v="3"/>
    <s v="Carrier C"/>
    <n v="4.3392247141107001"/>
    <s v="Supplier 2"/>
    <x v="1"/>
    <n v="18"/>
    <n v="374"/>
    <n v="17"/>
    <n v="27.107980854843898"/>
    <x v="0"/>
    <n v="2.2319391107292601"/>
    <x v="3"/>
    <s v="Route A"/>
    <n v="593.48025872065102"/>
    <n v="9333.226299507216"/>
    <n v="15.902439024390244"/>
    <n v="2.3220641152700292"/>
  </r>
  <r>
    <x v="1"/>
    <x v="19"/>
    <n v="51.123870087964697"/>
    <n v="100"/>
    <x v="19"/>
    <n v="2553.4955849912099"/>
    <x v="2"/>
    <n v="48"/>
    <n v="11"/>
    <n v="94"/>
    <x v="4"/>
    <s v="Carrier A"/>
    <n v="4.7426358828418698"/>
    <s v="Supplier 4"/>
    <x v="4"/>
    <n v="20"/>
    <n v="694"/>
    <n v="16"/>
    <n v="82.373320587990193"/>
    <x v="1"/>
    <n v="3.64645086541702"/>
    <x v="0"/>
    <s v="Route C"/>
    <n v="477.30763109090299"/>
    <n v="2466.3796285203775"/>
    <n v="15.975308641975309"/>
    <n v="2.323176769647076"/>
  </r>
  <r>
    <x v="1"/>
    <x v="20"/>
    <n v="96.341072439963298"/>
    <n v="22"/>
    <x v="20"/>
    <n v="8128.0276968511898"/>
    <x v="2"/>
    <n v="27"/>
    <n v="12"/>
    <n v="68"/>
    <x v="2"/>
    <s v="Carrier A"/>
    <n v="8.8783346509268402"/>
    <s v="Supplier 1"/>
    <x v="4"/>
    <n v="29"/>
    <n v="309"/>
    <n v="6"/>
    <n v="65.686259608488598"/>
    <x v="2"/>
    <n v="4.2314165735345304"/>
    <x v="1"/>
    <s v="Route B"/>
    <n v="493.871215316205"/>
    <n v="8053.4631025917743"/>
    <n v="16.037500000000001"/>
    <n v="2.3066358434499521"/>
  </r>
  <r>
    <x v="2"/>
    <x v="21"/>
    <n v="84.893868984950799"/>
    <n v="60"/>
    <x v="21"/>
    <n v="7087.0526963574302"/>
    <x v="2"/>
    <n v="69"/>
    <n v="25"/>
    <n v="7"/>
    <x v="2"/>
    <s v="Carrier B"/>
    <n v="6.0378837692182898"/>
    <s v="Supplier 5"/>
    <x v="4"/>
    <n v="19"/>
    <n v="791"/>
    <n v="4"/>
    <n v="61.735728954160898"/>
    <x v="0"/>
    <n v="1.8607567631014899E-2"/>
    <x v="1"/>
    <s v="Route C"/>
    <n v="523.36091472015801"/>
    <n v="7019.2790836340519"/>
    <n v="16.088607594936708"/>
    <n v="2.2822715304109065"/>
  </r>
  <r>
    <x v="0"/>
    <x v="22"/>
    <n v="27.679780886501899"/>
    <n v="55"/>
    <x v="22"/>
    <n v="2390.8078665561702"/>
    <x v="2"/>
    <n v="71"/>
    <n v="1"/>
    <n v="63"/>
    <x v="9"/>
    <s v="Carrier A"/>
    <n v="9.5676489209230393"/>
    <s v="Supplier 4"/>
    <x v="1"/>
    <n v="22"/>
    <n v="780"/>
    <n v="28"/>
    <n v="50.120839612977299"/>
    <x v="1"/>
    <n v="2.5912754732111098"/>
    <x v="2"/>
    <s v="Route C"/>
    <n v="205.57199582694699"/>
    <n v="2331.1193780222698"/>
    <n v="15.974358974358974"/>
    <n v="2.3112928632670591"/>
  </r>
  <r>
    <x v="2"/>
    <x v="23"/>
    <n v="4.3243411858641601"/>
    <n v="30"/>
    <x v="23"/>
    <n v="8858.3675710114803"/>
    <x v="2"/>
    <n v="84"/>
    <n v="5"/>
    <n v="29"/>
    <x v="6"/>
    <s v="Carrier A"/>
    <n v="2.92485760114555"/>
    <s v="Supplier 5"/>
    <x v="1"/>
    <n v="11"/>
    <n v="568"/>
    <n v="29"/>
    <n v="98.6099572427038"/>
    <x v="0"/>
    <n v="1.3422915627227301"/>
    <x v="2"/>
    <s v="Route A"/>
    <n v="196.329446112412"/>
    <n v="8756.8327561676306"/>
    <n v="16.168831168831169"/>
    <n v="2.307656725475578"/>
  </r>
  <r>
    <x v="0"/>
    <x v="24"/>
    <n v="4.1563083593111001"/>
    <n v="32"/>
    <x v="24"/>
    <n v="9049.0778609398894"/>
    <x v="3"/>
    <n v="4"/>
    <n v="26"/>
    <n v="2"/>
    <x v="3"/>
    <s v="Carrier C"/>
    <n v="9.7412916892843597"/>
    <s v="Supplier 2"/>
    <x v="3"/>
    <n v="28"/>
    <n v="447"/>
    <n v="3"/>
    <n v="40.382359702924802"/>
    <x v="0"/>
    <n v="3.69131029262872"/>
    <x v="1"/>
    <s v="Route A"/>
    <n v="758.72477260293795"/>
    <n v="8998.9542095476809"/>
    <n v="16.315789473684209"/>
    <n v="2.3203588986696944"/>
  </r>
  <r>
    <x v="0"/>
    <x v="25"/>
    <n v="39.629343985092603"/>
    <n v="73"/>
    <x v="25"/>
    <n v="2174.7770543506499"/>
    <x v="3"/>
    <n v="82"/>
    <n v="11"/>
    <n v="52"/>
    <x v="4"/>
    <s v="Carrier C"/>
    <n v="2.2310736812817198"/>
    <s v="Supplier 4"/>
    <x v="1"/>
    <n v="19"/>
    <n v="934"/>
    <n v="23"/>
    <n v="78.280383118415301"/>
    <x v="0"/>
    <n v="3.79723121711418"/>
    <x v="0"/>
    <s v="Route B"/>
    <n v="458.53594573920901"/>
    <n v="2094.2655975509529"/>
    <n v="16.186666666666667"/>
    <n v="2.3020795467502406"/>
  </r>
  <r>
    <x v="0"/>
    <x v="26"/>
    <n v="97.446946617892806"/>
    <n v="9"/>
    <x v="26"/>
    <n v="3716.49332589403"/>
    <x v="3"/>
    <n v="59"/>
    <n v="16"/>
    <n v="48"/>
    <x v="0"/>
    <s v="Carrier B"/>
    <n v="6.5075486210785503"/>
    <s v="Supplier 2"/>
    <x v="3"/>
    <n v="26"/>
    <n v="171"/>
    <n v="4"/>
    <n v="15.972229757181699"/>
    <x v="2"/>
    <n v="2.1193197367249201"/>
    <x v="2"/>
    <s v="Route A"/>
    <n v="617.86691645837698"/>
    <n v="3694.0135475157699"/>
    <n v="16.256756756756758"/>
    <n v="2.2818747944480249"/>
  </r>
  <r>
    <x v="2"/>
    <x v="27"/>
    <n v="92.557360812401996"/>
    <n v="42"/>
    <x v="27"/>
    <n v="2686.4572235759802"/>
    <x v="2"/>
    <n v="47"/>
    <n v="9"/>
    <n v="62"/>
    <x v="3"/>
    <s v="Carrier C"/>
    <n v="7.4067509529980704"/>
    <s v="Supplier 5"/>
    <x v="0"/>
    <n v="25"/>
    <n v="291"/>
    <n v="4"/>
    <n v="10.5282450700421"/>
    <x v="1"/>
    <n v="2.8646678378833701"/>
    <x v="3"/>
    <s v="Route B"/>
    <n v="762.45918215568304"/>
    <n v="2668.52222755294"/>
    <n v="16.260273972602739"/>
    <n v="2.2841015760606704"/>
  </r>
  <r>
    <x v="2"/>
    <x v="28"/>
    <n v="2.3972747055971402"/>
    <n v="12"/>
    <x v="28"/>
    <n v="6117.3246150839896"/>
    <x v="1"/>
    <n v="48"/>
    <n v="15"/>
    <n v="24"/>
    <x v="0"/>
    <s v="Carrier B"/>
    <n v="9.8981405080692202"/>
    <s v="Supplier 1"/>
    <x v="0"/>
    <n v="13"/>
    <n v="171"/>
    <n v="7"/>
    <n v="59.429381810691503"/>
    <x v="1"/>
    <n v="0.81575707929567198"/>
    <x v="1"/>
    <s v="Route A"/>
    <n v="123.437027511827"/>
    <n v="6047.9970927652284"/>
    <n v="16.361111111111111"/>
    <n v="2.2760381557575773"/>
  </r>
  <r>
    <x v="2"/>
    <x v="29"/>
    <n v="63.447559185207297"/>
    <n v="3"/>
    <x v="29"/>
    <n v="8318.9031946171708"/>
    <x v="1"/>
    <n v="45"/>
    <n v="5"/>
    <n v="67"/>
    <x v="6"/>
    <s v="Carrier B"/>
    <n v="8.1009731453970293"/>
    <s v="Supplier 1"/>
    <x v="1"/>
    <n v="16"/>
    <n v="329"/>
    <n v="7"/>
    <n v="39.292875586065698"/>
    <x v="2"/>
    <n v="3.8780989365884802"/>
    <x v="0"/>
    <s v="Route B"/>
    <n v="764.93537594070801"/>
    <n v="8271.5093458857082"/>
    <n v="16.380281690140844"/>
    <n v="2.2966054948626748"/>
  </r>
  <r>
    <x v="0"/>
    <x v="30"/>
    <n v="8.0228592105263896"/>
    <n v="10"/>
    <x v="30"/>
    <n v="2766.3423668660798"/>
    <x v="3"/>
    <n v="60"/>
    <n v="26"/>
    <n v="35"/>
    <x v="6"/>
    <s v="Carrier B"/>
    <n v="8.9545283153180097"/>
    <s v="Supplier 4"/>
    <x v="1"/>
    <n v="27"/>
    <n v="806"/>
    <n v="30"/>
    <n v="51.634893400109299"/>
    <x v="0"/>
    <n v="0.96539470535239302"/>
    <x v="0"/>
    <s v="Route C"/>
    <n v="880.08098824716103"/>
    <n v="2705.7529451506525"/>
    <n v="16.542857142857144"/>
    <n v="2.2740127314094485"/>
  </r>
  <r>
    <x v="1"/>
    <x v="31"/>
    <n v="50.847393051718697"/>
    <n v="28"/>
    <x v="31"/>
    <n v="9655.1351027193905"/>
    <x v="3"/>
    <n v="6"/>
    <n v="17"/>
    <n v="44"/>
    <x v="0"/>
    <s v="Carrier B"/>
    <n v="2.6796609649813998"/>
    <s v="Supplier 3"/>
    <x v="4"/>
    <n v="24"/>
    <n v="461"/>
    <n v="8"/>
    <n v="60.251145661598002"/>
    <x v="0"/>
    <n v="2.9890000066550702"/>
    <x v="2"/>
    <s v="Route C"/>
    <n v="609.379206618426"/>
    <n v="9592.204296092812"/>
    <n v="16.405797101449274"/>
    <n v="2.2929782100479565"/>
  </r>
  <r>
    <x v="1"/>
    <x v="32"/>
    <n v="79.209936015656695"/>
    <n v="43"/>
    <x v="32"/>
    <n v="9571.5504873278096"/>
    <x v="2"/>
    <n v="89"/>
    <n v="13"/>
    <n v="64"/>
    <x v="0"/>
    <s v="Carrier C"/>
    <n v="6.5991049012385803"/>
    <s v="Supplier 3"/>
    <x v="1"/>
    <n v="30"/>
    <n v="737"/>
    <n v="7"/>
    <n v="29.6924671537497"/>
    <x v="2"/>
    <n v="1.94603611938611"/>
    <x v="0"/>
    <s v="Route A"/>
    <n v="761.17390951487698"/>
    <n v="9535.2589152728215"/>
    <n v="16.397058823529413"/>
    <n v="2.2827425953919693"/>
  </r>
  <r>
    <x v="2"/>
    <x v="33"/>
    <n v="64.795435000155607"/>
    <n v="63"/>
    <x v="33"/>
    <n v="5149.9983504080301"/>
    <x v="0"/>
    <n v="4"/>
    <n v="17"/>
    <n v="95"/>
    <x v="7"/>
    <s v="Carrier C"/>
    <n v="4.85827050343664"/>
    <s v="Supplier 5"/>
    <x v="4"/>
    <n v="1"/>
    <n v="251"/>
    <n v="23"/>
    <n v="23.853427512896101"/>
    <x v="1"/>
    <n v="3.54104601225092"/>
    <x v="3"/>
    <s v="Route A"/>
    <n v="371.25529551987103"/>
    <n v="5121.2866523916973"/>
    <n v="16.447761194029852"/>
    <n v="2.2877680651831014"/>
  </r>
  <r>
    <x v="1"/>
    <x v="34"/>
    <n v="37.467592329842397"/>
    <n v="96"/>
    <x v="34"/>
    <n v="9061.7108955077201"/>
    <x v="2"/>
    <n v="1"/>
    <n v="26"/>
    <n v="21"/>
    <x v="6"/>
    <s v="Carrier A"/>
    <n v="1.0194875708221101"/>
    <s v="Supplier 1"/>
    <x v="4"/>
    <n v="4"/>
    <n v="452"/>
    <n v="10"/>
    <n v="10.754272815029299"/>
    <x v="2"/>
    <n v="0.64660455937205397"/>
    <x v="0"/>
    <s v="Route B"/>
    <n v="510.35800043352299"/>
    <n v="9049.9371351218688"/>
    <n v="16.439393939393938"/>
    <n v="2.2687790053790433"/>
  </r>
  <r>
    <x v="2"/>
    <x v="35"/>
    <n v="84.957786816350406"/>
    <n v="11"/>
    <x v="35"/>
    <n v="6541.3293448024597"/>
    <x v="1"/>
    <n v="42"/>
    <n v="27"/>
    <n v="85"/>
    <x v="3"/>
    <s v="Carrier C"/>
    <n v="5.2881899903273997"/>
    <s v="Supplier 1"/>
    <x v="2"/>
    <n v="3"/>
    <n v="367"/>
    <n v="2"/>
    <n v="58.004787044743701"/>
    <x v="2"/>
    <n v="0.54115409806058101"/>
    <x v="3"/>
    <s v="Route C"/>
    <n v="553.42047123035502"/>
    <n v="6478.0363677673886"/>
    <n v="16.292307692307691"/>
    <n v="2.2937355353176123"/>
  </r>
  <r>
    <x v="1"/>
    <x v="36"/>
    <n v="9.81300257875405"/>
    <n v="34"/>
    <x v="36"/>
    <n v="7573.4024578487297"/>
    <x v="1"/>
    <n v="18"/>
    <n v="23"/>
    <n v="28"/>
    <x v="4"/>
    <s v="Carrier B"/>
    <n v="2.1079512671590801"/>
    <s v="Supplier 2"/>
    <x v="2"/>
    <n v="26"/>
    <n v="671"/>
    <n v="19"/>
    <n v="45.531364237162101"/>
    <x v="1"/>
    <n v="3.8055333792433501"/>
    <x v="1"/>
    <s v="Route C"/>
    <n v="403.80897424817999"/>
    <n v="7525.7631423444082"/>
    <n v="16.125"/>
    <n v="2.3211196202747537"/>
  </r>
  <r>
    <x v="1"/>
    <x v="37"/>
    <n v="23.3998447526143"/>
    <n v="5"/>
    <x v="36"/>
    <n v="2438.3399304700201"/>
    <x v="1"/>
    <n v="25"/>
    <n v="8"/>
    <n v="21"/>
    <x v="7"/>
    <s v="Carrier A"/>
    <n v="1.53265527359043"/>
    <s v="Supplier 3"/>
    <x v="1"/>
    <n v="24"/>
    <n v="867"/>
    <n v="15"/>
    <n v="34.343277465075303"/>
    <x v="0"/>
    <n v="2.61028808484811"/>
    <x v="3"/>
    <s v="Route A"/>
    <n v="183.932968043594"/>
    <n v="2402.4639977313541"/>
    <n v="16.015873015873016"/>
    <n v="2.2975574971165216"/>
  </r>
  <r>
    <x v="2"/>
    <x v="38"/>
    <n v="52.075930682707799"/>
    <n v="75"/>
    <x v="37"/>
    <n v="9692.3180402184298"/>
    <x v="0"/>
    <n v="69"/>
    <n v="1"/>
    <n v="88"/>
    <x v="8"/>
    <s v="Carrier B"/>
    <n v="9.2359314372492207"/>
    <s v="Supplier 5"/>
    <x v="0"/>
    <n v="10"/>
    <n v="841"/>
    <n v="12"/>
    <n v="5.9306936455283097"/>
    <x v="0"/>
    <n v="0.613326899164507"/>
    <x v="1"/>
    <s v="Route B"/>
    <n v="339.67286994860598"/>
    <n v="9677.1514151356514"/>
    <n v="16.14516129032258"/>
    <n v="2.292513455378915"/>
  </r>
  <r>
    <x v="1"/>
    <x v="39"/>
    <n v="19.127477265823199"/>
    <n v="26"/>
    <x v="38"/>
    <n v="1912.4656631007599"/>
    <x v="1"/>
    <n v="78"/>
    <n v="29"/>
    <n v="34"/>
    <x v="4"/>
    <s v="Carrier A"/>
    <n v="5.5625037788303802"/>
    <s v="Supplier 2"/>
    <x v="1"/>
    <n v="30"/>
    <n v="791"/>
    <n v="6"/>
    <n v="9.0058074287816403"/>
    <x v="1"/>
    <n v="1.4519722039968099"/>
    <x v="1"/>
    <s v="Route B"/>
    <n v="653.67299455203295"/>
    <n v="1897.8973518931477"/>
    <n v="16.393442622950818"/>
    <n v="2.3200411038414468"/>
  </r>
  <r>
    <x v="1"/>
    <x v="40"/>
    <n v="80.541424170940303"/>
    <n v="97"/>
    <x v="39"/>
    <n v="5724.9593504562599"/>
    <x v="1"/>
    <n v="90"/>
    <n v="20"/>
    <n v="39"/>
    <x v="3"/>
    <s v="Carrier C"/>
    <n v="7.2295951397364702"/>
    <s v="Supplier 1"/>
    <x v="1"/>
    <n v="18"/>
    <n v="793"/>
    <n v="1"/>
    <n v="88.179407104217404"/>
    <x v="0"/>
    <n v="4.2132694305865597"/>
    <x v="0"/>
    <s v="Route A"/>
    <n v="529.80872398069096"/>
    <n v="5629.5503482123058"/>
    <n v="16.183333333333334"/>
    <n v="2.334508918838857"/>
  </r>
  <r>
    <x v="1"/>
    <x v="41"/>
    <n v="99.113291615317095"/>
    <n v="35"/>
    <x v="40"/>
    <n v="5521.2052590109697"/>
    <x v="1"/>
    <n v="64"/>
    <n v="19"/>
    <n v="38"/>
    <x v="3"/>
    <s v="Carrier B"/>
    <n v="5.7732637437666501"/>
    <s v="Supplier 4"/>
    <x v="4"/>
    <n v="18"/>
    <n v="892"/>
    <n v="7"/>
    <n v="95.332064548772493"/>
    <x v="1"/>
    <n v="4.5302262398259602E-2"/>
    <x v="3"/>
    <s v="Route A"/>
    <n v="275.52437113130901"/>
    <n v="5420.0999307184302"/>
    <n v="16.118644067796609"/>
    <n v="2.3026655203346587"/>
  </r>
  <r>
    <x v="1"/>
    <x v="42"/>
    <n v="46.529167614516702"/>
    <n v="98"/>
    <x v="41"/>
    <n v="1839.60942585676"/>
    <x v="1"/>
    <n v="22"/>
    <n v="27"/>
    <n v="57"/>
    <x v="0"/>
    <s v="Carrier C"/>
    <n v="7.5262483268515004"/>
    <s v="Supplier 5"/>
    <x v="3"/>
    <n v="26"/>
    <n v="179"/>
    <n v="7"/>
    <n v="96.422820639571796"/>
    <x v="1"/>
    <n v="4.9392552886209398"/>
    <x v="0"/>
    <s v="Route A"/>
    <n v="635.65712050199102"/>
    <n v="1735.6603568903365"/>
    <n v="16.068965517241381"/>
    <n v="2.3415855765059757"/>
  </r>
  <r>
    <x v="0"/>
    <x v="43"/>
    <n v="11.7432717763092"/>
    <n v="6"/>
    <x v="42"/>
    <n v="5737.4255991190203"/>
    <x v="2"/>
    <n v="36"/>
    <n v="29"/>
    <n v="85"/>
    <x v="7"/>
    <s v="Carrier B"/>
    <n v="3.6940212683884499"/>
    <s v="Supplier 5"/>
    <x v="0"/>
    <n v="1"/>
    <n v="206"/>
    <n v="23"/>
    <n v="26.2773659573324"/>
    <x v="0"/>
    <n v="0.37230476798509698"/>
    <x v="1"/>
    <s v="Route A"/>
    <n v="716.04411975933999"/>
    <n v="5707.4542118932995"/>
    <n v="15.87719298245614"/>
    <n v="2.2960124236618533"/>
  </r>
  <r>
    <x v="2"/>
    <x v="44"/>
    <n v="51.355790913110297"/>
    <n v="34"/>
    <x v="43"/>
    <n v="7152.28604943551"/>
    <x v="1"/>
    <n v="13"/>
    <n v="19"/>
    <n v="72"/>
    <x v="2"/>
    <s v="Carrier C"/>
    <n v="7.5774496573766896"/>
    <s v="Supplier 2"/>
    <x v="2"/>
    <n v="7"/>
    <n v="834"/>
    <n v="18"/>
    <n v="22.554106620887701"/>
    <x v="1"/>
    <n v="2.9626263204548802"/>
    <x v="2"/>
    <s v="Route A"/>
    <n v="610.45326961922694"/>
    <n v="7122.1544931572453"/>
    <n v="15.642857142857142"/>
    <n v="2.3303643460846524"/>
  </r>
  <r>
    <x v="0"/>
    <x v="45"/>
    <n v="33.784138033065503"/>
    <n v="1"/>
    <x v="44"/>
    <n v="5267.9568075105199"/>
    <x v="3"/>
    <n v="93"/>
    <n v="7"/>
    <n v="52"/>
    <x v="2"/>
    <s v="Carrier B"/>
    <n v="5.2151550087119096"/>
    <s v="Supplier 2"/>
    <x v="4"/>
    <n v="25"/>
    <n v="794"/>
    <n v="25"/>
    <n v="66.312544439991598"/>
    <x v="2"/>
    <n v="3.2196046120841002"/>
    <x v="2"/>
    <s v="Route A"/>
    <n v="495.30569702847299"/>
    <n v="5196.4291080618159"/>
    <n v="15.581818181818182"/>
    <n v="2.3188686738233755"/>
  </r>
  <r>
    <x v="0"/>
    <x v="46"/>
    <n v="27.082207199888899"/>
    <n v="75"/>
    <x v="45"/>
    <n v="2556.7673606335902"/>
    <x v="0"/>
    <n v="92"/>
    <n v="29"/>
    <n v="6"/>
    <x v="3"/>
    <s v="Carrier B"/>
    <n v="4.0709558370840799"/>
    <s v="Supplier 3"/>
    <x v="4"/>
    <n v="18"/>
    <n v="870"/>
    <n v="23"/>
    <n v="77.322353211051606"/>
    <x v="0"/>
    <n v="3.6486105925361998"/>
    <x v="0"/>
    <s v="Route B"/>
    <n v="380.43593711196399"/>
    <n v="2475.3740515854547"/>
    <n v="15.74074074074074"/>
    <n v="2.3021883786703987"/>
  </r>
  <r>
    <x v="1"/>
    <x v="47"/>
    <n v="95.712135880936003"/>
    <n v="93"/>
    <x v="46"/>
    <n v="7089.4742499341801"/>
    <x v="3"/>
    <n v="4"/>
    <n v="15"/>
    <n v="51"/>
    <x v="7"/>
    <s v="Carrier B"/>
    <n v="8.9787507559499709"/>
    <s v="Supplier 1"/>
    <x v="1"/>
    <n v="10"/>
    <n v="964"/>
    <n v="20"/>
    <n v="19.7129929112936"/>
    <x v="0"/>
    <n v="0.38057358671321301"/>
    <x v="2"/>
    <s v="Route A"/>
    <n v="581.60235505058597"/>
    <n v="7060.7825062669363"/>
    <n v="15.490566037735849"/>
    <n v="2.2767841859559494"/>
  </r>
  <r>
    <x v="0"/>
    <x v="48"/>
    <n v="76.035544426891704"/>
    <n v="28"/>
    <x v="47"/>
    <n v="7397.0710045871801"/>
    <x v="0"/>
    <n v="30"/>
    <n v="16"/>
    <n v="9"/>
    <x v="4"/>
    <s v="Carrier C"/>
    <n v="7.0958331565551296"/>
    <s v="Supplier 2"/>
    <x v="0"/>
    <n v="9"/>
    <n v="109"/>
    <n v="18"/>
    <n v="23.126363582464698"/>
    <x v="1"/>
    <n v="1.6981125407144"/>
    <x v="2"/>
    <s v="Route B"/>
    <n v="768.65191395437"/>
    <n v="7366.8488078481605"/>
    <n v="15.5"/>
    <n v="2.3132497744029252"/>
  </r>
  <r>
    <x v="2"/>
    <x v="49"/>
    <n v="78.897913205639995"/>
    <n v="19"/>
    <x v="48"/>
    <n v="8001.6132065190004"/>
    <x v="2"/>
    <n v="97"/>
    <n v="24"/>
    <n v="9"/>
    <x v="2"/>
    <s v="Carrier C"/>
    <n v="2.5056210329009101"/>
    <s v="Supplier 5"/>
    <x v="2"/>
    <n v="28"/>
    <n v="177"/>
    <n v="28"/>
    <n v="14.1478154439792"/>
    <x v="2"/>
    <n v="2.8258139854001301"/>
    <x v="2"/>
    <s v="Route A"/>
    <n v="336.89016851997701"/>
    <n v="7984.95977004212"/>
    <n v="15.490196078431373"/>
    <n v="2.3253112887889751"/>
  </r>
  <r>
    <x v="2"/>
    <x v="50"/>
    <n v="14.203484264803"/>
    <n v="91"/>
    <x v="49"/>
    <n v="5910.8853896688897"/>
    <x v="1"/>
    <n v="31"/>
    <n v="23"/>
    <n v="82"/>
    <x v="9"/>
    <s v="Carrier A"/>
    <n v="6.2478609149759903"/>
    <s v="Supplier 2"/>
    <x v="2"/>
    <n v="20"/>
    <n v="306"/>
    <n v="21"/>
    <n v="45.178757924634503"/>
    <x v="1"/>
    <n v="4.7548008046711798"/>
    <x v="2"/>
    <s v="Route B"/>
    <n v="496.24865029194001"/>
    <n v="5859.4587708292793"/>
    <n v="15.32"/>
    <n v="2.3153012348567517"/>
  </r>
  <r>
    <x v="0"/>
    <x v="51"/>
    <n v="26.700760972461701"/>
    <n v="61"/>
    <x v="50"/>
    <n v="9866.4654579796897"/>
    <x v="3"/>
    <n v="100"/>
    <n v="4"/>
    <n v="52"/>
    <x v="5"/>
    <s v="Carrier A"/>
    <n v="4.78300055794766"/>
    <s v="Supplier 5"/>
    <x v="3"/>
    <n v="18"/>
    <n v="673"/>
    <n v="28"/>
    <n v="14.190328344569901"/>
    <x v="0"/>
    <n v="1.77295117208355"/>
    <x v="0"/>
    <s v="Route A"/>
    <n v="694.98231757944495"/>
    <n v="9847.4921290771726"/>
    <n v="15.163265306122449"/>
    <n v="2.2655155293503348"/>
  </r>
  <r>
    <x v="1"/>
    <x v="52"/>
    <n v="98.031829656465007"/>
    <n v="1"/>
    <x v="51"/>
    <n v="9435.7626089121295"/>
    <x v="3"/>
    <n v="64"/>
    <n v="11"/>
    <n v="11"/>
    <x v="5"/>
    <s v="Carrier B"/>
    <n v="8.6310521797689397"/>
    <s v="Supplier 1"/>
    <x v="0"/>
    <n v="10"/>
    <n v="727"/>
    <n v="27"/>
    <n v="9.1668491485971497"/>
    <x v="0"/>
    <n v="2.1224716191438202"/>
    <x v="1"/>
    <s v="Route C"/>
    <n v="602.89849883838303"/>
    <n v="9417.964707583762"/>
    <n v="15.395833333333334"/>
    <n v="2.2757772867933932"/>
  </r>
  <r>
    <x v="1"/>
    <x v="53"/>
    <n v="30.3414707112142"/>
    <n v="93"/>
    <x v="52"/>
    <n v="8232.3348294258194"/>
    <x v="3"/>
    <n v="96"/>
    <n v="25"/>
    <n v="54"/>
    <x v="4"/>
    <s v="Carrier B"/>
    <n v="1.0134865660958901"/>
    <s v="Supplier 1"/>
    <x v="2"/>
    <n v="1"/>
    <n v="631"/>
    <n v="17"/>
    <n v="83.344058991677898"/>
    <x v="0"/>
    <n v="1.41034757607602"/>
    <x v="1"/>
    <s v="Route B"/>
    <n v="750.73784066827"/>
    <n v="8147.9772838680456"/>
    <n v="15.48936170212766"/>
    <n v="2.2790391095093416"/>
  </r>
  <r>
    <x v="0"/>
    <x v="54"/>
    <n v="31.1462431602408"/>
    <n v="11"/>
    <x v="53"/>
    <n v="6088.0214799408504"/>
    <x v="0"/>
    <n v="33"/>
    <n v="22"/>
    <n v="61"/>
    <x v="4"/>
    <s v="Carrier B"/>
    <n v="4.3051034712876302"/>
    <s v="Supplier 1"/>
    <x v="1"/>
    <n v="26"/>
    <n v="497"/>
    <n v="29"/>
    <n v="30.186023375822501"/>
    <x v="2"/>
    <n v="2.4787719755397402"/>
    <x v="0"/>
    <s v="Route B"/>
    <n v="814.06999658218695"/>
    <n v="6053.5303530937399"/>
    <n v="15.282608695652174"/>
    <n v="2.2979237080622399"/>
  </r>
  <r>
    <x v="0"/>
    <x v="55"/>
    <n v="79.855058340789398"/>
    <n v="16"/>
    <x v="54"/>
    <n v="2925.6751703038099"/>
    <x v="3"/>
    <n v="97"/>
    <n v="11"/>
    <n v="11"/>
    <x v="8"/>
    <s v="Carrier A"/>
    <n v="5.0143649550309002"/>
    <s v="Supplier 2"/>
    <x v="2"/>
    <n v="27"/>
    <n v="918"/>
    <n v="5"/>
    <n v="30.323545256616502"/>
    <x v="1"/>
    <n v="4.5489196593963799"/>
    <x v="3"/>
    <s v="Route B"/>
    <n v="323.01292795247798"/>
    <n v="2890.3372600921625"/>
    <n v="15.133333333333333"/>
    <n v="2.293904857673851"/>
  </r>
  <r>
    <x v="1"/>
    <x v="56"/>
    <n v="20.9863860370433"/>
    <n v="90"/>
    <x v="55"/>
    <n v="4767.0204843441297"/>
    <x v="0"/>
    <n v="25"/>
    <n v="23"/>
    <n v="83"/>
    <x v="8"/>
    <s v="Carrier C"/>
    <n v="1.77442971407173"/>
    <s v="Supplier 1"/>
    <x v="0"/>
    <n v="24"/>
    <n v="826"/>
    <n v="28"/>
    <n v="12.8362845728327"/>
    <x v="2"/>
    <n v="1.1737554953874501"/>
    <x v="1"/>
    <s v="Route B"/>
    <n v="832.210808706021"/>
    <n v="4752.4097700572256"/>
    <n v="15.227272727272727"/>
    <n v="2.2426545212710667"/>
  </r>
  <r>
    <x v="0"/>
    <x v="57"/>
    <n v="49.263205350734097"/>
    <n v="65"/>
    <x v="56"/>
    <n v="1605.8669003924001"/>
    <x v="2"/>
    <n v="5"/>
    <n v="18"/>
    <n v="51"/>
    <x v="5"/>
    <s v="Carrier B"/>
    <n v="9.1605585353818704"/>
    <s v="Supplier 2"/>
    <x v="2"/>
    <n v="21"/>
    <n v="588"/>
    <n v="25"/>
    <n v="67.779622987078099"/>
    <x v="0"/>
    <n v="2.5111748302126999"/>
    <x v="2"/>
    <s v="Route A"/>
    <n v="482.19123860252802"/>
    <n v="1528.9267188699403"/>
    <n v="15.046511627906977"/>
    <n v="2.2675126381520809"/>
  </r>
  <r>
    <x v="1"/>
    <x v="58"/>
    <n v="59.841561377289302"/>
    <n v="81"/>
    <x v="57"/>
    <n v="2021.1498103371"/>
    <x v="0"/>
    <n v="10"/>
    <n v="5"/>
    <n v="44"/>
    <x v="6"/>
    <s v="Carrier A"/>
    <n v="4.9384385647120901"/>
    <s v="Supplier 3"/>
    <x v="2"/>
    <n v="18"/>
    <n v="396"/>
    <n v="7"/>
    <n v="65.047415094691402"/>
    <x v="1"/>
    <n v="1.7303747198591899"/>
    <x v="0"/>
    <s v="Route B"/>
    <n v="110.364335231364"/>
    <n v="1951.1639566776967"/>
    <n v="14.976190476190476"/>
    <n v="2.2617111573887327"/>
  </r>
  <r>
    <x v="2"/>
    <x v="59"/>
    <n v="63.828398347710902"/>
    <n v="30"/>
    <x v="58"/>
    <n v="1061.6185230132801"/>
    <x v="0"/>
    <n v="100"/>
    <n v="16"/>
    <n v="26"/>
    <x v="6"/>
    <s v="Carrier B"/>
    <n v="7.2937225968677204"/>
    <s v="Supplier 1"/>
    <x v="1"/>
    <n v="11"/>
    <n v="176"/>
    <n v="4"/>
    <n v="1.90076224351945"/>
    <x v="1"/>
    <n v="0.44719401546382298"/>
    <x v="1"/>
    <s v="Route A"/>
    <n v="312.57427361009297"/>
    <n v="1052.424038172893"/>
    <n v="15.219512195121951"/>
    <n v="2.274670582694331"/>
  </r>
  <r>
    <x v="1"/>
    <x v="60"/>
    <n v="17.028027920188698"/>
    <n v="16"/>
    <x v="59"/>
    <n v="8864.0843495864301"/>
    <x v="1"/>
    <n v="41"/>
    <n v="27"/>
    <n v="72"/>
    <x v="3"/>
    <s v="Carrier C"/>
    <n v="4.3813681581023101"/>
    <s v="Supplier 4"/>
    <x v="0"/>
    <n v="29"/>
    <n v="929"/>
    <n v="24"/>
    <n v="87.213057815135599"/>
    <x v="1"/>
    <n v="2.8530906166490499"/>
    <x v="2"/>
    <s v="Route A"/>
    <n v="430.16909697513597"/>
    <n v="8772.4899236131914"/>
    <n v="15.2"/>
    <n v="2.320357496875094"/>
  </r>
  <r>
    <x v="0"/>
    <x v="61"/>
    <n v="52.028749903294901"/>
    <n v="23"/>
    <x v="60"/>
    <n v="6885.5893508962499"/>
    <x v="2"/>
    <n v="32"/>
    <n v="23"/>
    <n v="36"/>
    <x v="6"/>
    <s v="Carrier C"/>
    <n v="9.0303404225219399"/>
    <s v="Supplier 4"/>
    <x v="1"/>
    <n v="14"/>
    <n v="480"/>
    <n v="12"/>
    <n v="78.702393968878894"/>
    <x v="1"/>
    <n v="4.3674705382050503"/>
    <x v="1"/>
    <s v="Route A"/>
    <n v="164.366528243419"/>
    <n v="6797.8566165048487"/>
    <n v="14.897435897435898"/>
    <n v="2.3066976732911471"/>
  </r>
  <r>
    <x v="2"/>
    <x v="62"/>
    <n v="72.796353955587307"/>
    <n v="89"/>
    <x v="61"/>
    <n v="3899.7468337292198"/>
    <x v="2"/>
    <n v="86"/>
    <n v="2"/>
    <n v="40"/>
    <x v="6"/>
    <s v="Carrier C"/>
    <n v="7.2917013887767697"/>
    <s v="Supplier 2"/>
    <x v="0"/>
    <n v="13"/>
    <n v="751"/>
    <n v="14"/>
    <n v="21.048642725168602"/>
    <x v="2"/>
    <n v="1.87400140404437"/>
    <x v="3"/>
    <s v="Route C"/>
    <n v="320.84651575911101"/>
    <n v="3871.4064896152745"/>
    <n v="14.684210526315789"/>
    <n v="2.2524668084249915"/>
  </r>
  <r>
    <x v="1"/>
    <x v="63"/>
    <n v="13.0173767852878"/>
    <n v="55"/>
    <x v="62"/>
    <n v="4256.9491408502199"/>
    <x v="0"/>
    <n v="54"/>
    <n v="19"/>
    <n v="10"/>
    <x v="0"/>
    <s v="Carrier A"/>
    <n v="2.45793352798733"/>
    <s v="Supplier 3"/>
    <x v="3"/>
    <n v="18"/>
    <n v="736"/>
    <n v="10"/>
    <n v="20.075003975630398"/>
    <x v="0"/>
    <n v="3.6328432903821302"/>
    <x v="3"/>
    <s v="Route A"/>
    <n v="687.28617786641701"/>
    <n v="4234.4162033466018"/>
    <n v="15.027027027027026"/>
    <n v="2.2626956031379808"/>
  </r>
  <r>
    <x v="1"/>
    <x v="64"/>
    <n v="89.634095608135297"/>
    <n v="11"/>
    <x v="63"/>
    <n v="8458.7308783671706"/>
    <x v="1"/>
    <n v="73"/>
    <n v="27"/>
    <n v="75"/>
    <x v="2"/>
    <s v="Carrier C"/>
    <n v="4.5853534681946497"/>
    <s v="Supplier 1"/>
    <x v="2"/>
    <n v="17"/>
    <n v="328"/>
    <n v="6"/>
    <n v="8.6930424258772803"/>
    <x v="1"/>
    <n v="0.15948631471751401"/>
    <x v="1"/>
    <s v="Route C"/>
    <n v="771.225084681157"/>
    <n v="8445.4524824730979"/>
    <n v="14.916666666666666"/>
    <n v="2.224635945158977"/>
  </r>
  <r>
    <x v="1"/>
    <x v="65"/>
    <n v="33.697717206643098"/>
    <n v="72"/>
    <x v="64"/>
    <n v="8354.5796864819895"/>
    <x v="3"/>
    <n v="57"/>
    <n v="24"/>
    <n v="54"/>
    <x v="3"/>
    <s v="Carrier C"/>
    <n v="6.5805413478845898"/>
    <s v="Supplier 5"/>
    <x v="1"/>
    <n v="16"/>
    <n v="358"/>
    <n v="21"/>
    <n v="1.59722274305067"/>
    <x v="1"/>
    <n v="4.9110959548423301"/>
    <x v="2"/>
    <s v="Route C"/>
    <n v="555.85910367174301"/>
    <n v="8346.4019223910545"/>
    <n v="14.571428571428571"/>
    <n v="2.2836402203144472"/>
  </r>
  <r>
    <x v="1"/>
    <x v="66"/>
    <n v="26.034869773962001"/>
    <n v="52"/>
    <x v="65"/>
    <n v="8367.7216180201503"/>
    <x v="1"/>
    <n v="13"/>
    <n v="17"/>
    <n v="19"/>
    <x v="3"/>
    <s v="Carrier A"/>
    <n v="2.2161427287713602"/>
    <s v="Supplier 5"/>
    <x v="1"/>
    <n v="24"/>
    <n v="867"/>
    <n v="28"/>
    <n v="42.084436738309897"/>
    <x v="1"/>
    <n v="3.44806328834026"/>
    <x v="0"/>
    <s v="Route A"/>
    <n v="393.84334857842703"/>
    <n v="8323.4210385530678"/>
    <n v="14.294117647058824"/>
    <n v="2.2063621104753923"/>
  </r>
  <r>
    <x v="1"/>
    <x v="67"/>
    <n v="87.755432354001002"/>
    <n v="16"/>
    <x v="66"/>
    <n v="9473.7980325083299"/>
    <x v="2"/>
    <n v="12"/>
    <n v="9"/>
    <n v="71"/>
    <x v="7"/>
    <s v="Carrier C"/>
    <n v="9.1478115447106294"/>
    <s v="Supplier 1"/>
    <x v="0"/>
    <n v="10"/>
    <n v="198"/>
    <n v="11"/>
    <n v="7.0578761469782298"/>
    <x v="2"/>
    <n v="0.131955444311814"/>
    <x v="3"/>
    <s v="Route C"/>
    <n v="169.27180138478599"/>
    <n v="9457.5923448166413"/>
    <n v="14.212121212121213"/>
    <n v="2.1687348020552446"/>
  </r>
  <r>
    <x v="0"/>
    <x v="68"/>
    <n v="37.931812382790298"/>
    <n v="29"/>
    <x v="67"/>
    <n v="3550.21843278099"/>
    <x v="0"/>
    <n v="0"/>
    <n v="8"/>
    <n v="58"/>
    <x v="3"/>
    <s v="Carrier B"/>
    <n v="1.19425186488499"/>
    <s v="Supplier 2"/>
    <x v="3"/>
    <n v="2"/>
    <n v="375"/>
    <n v="18"/>
    <n v="97.113581563462205"/>
    <x v="1"/>
    <n v="1.9834678721741801"/>
    <x v="2"/>
    <s v="Route A"/>
    <n v="299.70630311810299"/>
    <n v="3451.9105993526432"/>
    <n v="14.375"/>
    <n v="2.2323841569847267"/>
  </r>
  <r>
    <x v="1"/>
    <x v="69"/>
    <n v="54.865528517069698"/>
    <n v="62"/>
    <x v="68"/>
    <n v="1752.3810874841199"/>
    <x v="0"/>
    <n v="95"/>
    <n v="1"/>
    <n v="27"/>
    <x v="4"/>
    <s v="Carrier B"/>
    <n v="9.7052867901203399"/>
    <s v="Supplier 4"/>
    <x v="1"/>
    <n v="9"/>
    <n v="862"/>
    <n v="7"/>
    <n v="77.627765812748095"/>
    <x v="0"/>
    <n v="1.3623879886490999"/>
    <x v="1"/>
    <s v="Route A"/>
    <n v="207.66320620857499"/>
    <n v="1665.0480348812516"/>
    <n v="14.580645161290322"/>
    <n v="2.2404137145592609"/>
  </r>
  <r>
    <x v="0"/>
    <x v="70"/>
    <n v="47.914541824058702"/>
    <n v="90"/>
    <x v="69"/>
    <n v="7014.8879872033804"/>
    <x v="1"/>
    <n v="10"/>
    <n v="12"/>
    <n v="22"/>
    <x v="0"/>
    <s v="Carrier B"/>
    <n v="6.3157177546007199"/>
    <s v="Supplier 1"/>
    <x v="3"/>
    <n v="22"/>
    <n v="775"/>
    <n v="16"/>
    <n v="11.440781823761199"/>
    <x v="2"/>
    <n v="1.8305755986122301"/>
    <x v="0"/>
    <s v="Route C"/>
    <n v="183.27289874871099"/>
    <n v="6997.1314876250181"/>
    <n v="15.033333333333333"/>
    <n v="2.2696812387562657"/>
  </r>
  <r>
    <x v="2"/>
    <x v="71"/>
    <n v="6.3815331627479601"/>
    <n v="14"/>
    <x v="70"/>
    <n v="8180.3370854254399"/>
    <x v="1"/>
    <n v="76"/>
    <n v="2"/>
    <n v="26"/>
    <x v="2"/>
    <s v="Carrier A"/>
    <n v="9.2281903170525101"/>
    <s v="Supplier 2"/>
    <x v="3"/>
    <n v="2"/>
    <n v="258"/>
    <n v="10"/>
    <n v="30.661677477859499"/>
    <x v="0"/>
    <n v="2.07875060787496"/>
    <x v="0"/>
    <s v="Route A"/>
    <n v="405.167067888855"/>
    <n v="8140.447217630528"/>
    <n v="15.137931034482758"/>
    <n v="2.2848228125543359"/>
  </r>
  <r>
    <x v="2"/>
    <x v="72"/>
    <n v="90.204427520528"/>
    <n v="88"/>
    <x v="71"/>
    <n v="2633.1219813122498"/>
    <x v="0"/>
    <n v="57"/>
    <n v="29"/>
    <n v="77"/>
    <x v="7"/>
    <s v="Carrier A"/>
    <n v="6.5996141596895397"/>
    <s v="Supplier 1"/>
    <x v="3"/>
    <n v="21"/>
    <n v="152"/>
    <n v="11"/>
    <n v="55.760492895244198"/>
    <x v="0"/>
    <n v="3.2133296074383"/>
    <x v="2"/>
    <s v="Route B"/>
    <n v="677.94456984618296"/>
    <n v="2570.7618742573159"/>
    <n v="15.607142857142858"/>
    <n v="2.2921825341500286"/>
  </r>
  <r>
    <x v="2"/>
    <x v="73"/>
    <n v="83.851017681304597"/>
    <n v="41"/>
    <x v="72"/>
    <n v="7910.8869161406801"/>
    <x v="3"/>
    <n v="17"/>
    <n v="25"/>
    <n v="66"/>
    <x v="8"/>
    <s v="Carrier B"/>
    <n v="1.5129368369160701"/>
    <s v="Supplier 4"/>
    <x v="4"/>
    <n v="13"/>
    <n v="444"/>
    <n v="4"/>
    <n v="46.870238797617098"/>
    <x v="1"/>
    <n v="4.6205460645137002"/>
    <x v="0"/>
    <s v="Route A"/>
    <n v="866.472800129657"/>
    <n v="7862.5037405061466"/>
    <n v="15.111111111111111"/>
    <n v="2.2580659758800916"/>
  </r>
  <r>
    <x v="0"/>
    <x v="74"/>
    <n v="3.1700114135661499"/>
    <n v="64"/>
    <x v="73"/>
    <n v="5709.9452959692799"/>
    <x v="1"/>
    <n v="41"/>
    <n v="6"/>
    <n v="1"/>
    <x v="8"/>
    <s v="Carrier A"/>
    <n v="5.2376546500374399"/>
    <s v="Supplier 4"/>
    <x v="2"/>
    <n v="1"/>
    <n v="919"/>
    <n v="9"/>
    <n v="80.580852156447804"/>
    <x v="1"/>
    <n v="0.39661272410993498"/>
    <x v="2"/>
    <s v="Route A"/>
    <n v="341.55265678322297"/>
    <n v="5624.1267891627949"/>
    <n v="14.73076923076923"/>
    <n v="2.1672013570864914"/>
  </r>
  <r>
    <x v="1"/>
    <x v="75"/>
    <n v="92.996884233970604"/>
    <n v="29"/>
    <x v="74"/>
    <n v="1889.07358977933"/>
    <x v="0"/>
    <n v="16"/>
    <n v="20"/>
    <n v="56"/>
    <x v="9"/>
    <s v="Carrier C"/>
    <n v="2.47389776104546"/>
    <s v="Supplier 1"/>
    <x v="4"/>
    <n v="25"/>
    <n v="759"/>
    <n v="11"/>
    <n v="48.064782640006499"/>
    <x v="2"/>
    <n v="2.0300690886687498"/>
    <x v="1"/>
    <s v="Route C"/>
    <n v="873.12964801765099"/>
    <n v="1838.5349093782779"/>
    <n v="15.08"/>
    <n v="2.2380249024055541"/>
  </r>
  <r>
    <x v="0"/>
    <x v="76"/>
    <n v="69.108799547430294"/>
    <n v="23"/>
    <x v="75"/>
    <n v="5328.3759842977497"/>
    <x v="3"/>
    <n v="38"/>
    <n v="1"/>
    <n v="22"/>
    <x v="9"/>
    <s v="Carrier A"/>
    <n v="7.0545383368369201"/>
    <s v="Supplier 2"/>
    <x v="3"/>
    <n v="25"/>
    <n v="985"/>
    <n v="24"/>
    <n v="64.323597795600193"/>
    <x v="0"/>
    <n v="2.1800374515822099"/>
    <x v="2"/>
    <s v="Route A"/>
    <n v="997.41345013319403"/>
    <n v="5256.9978481653125"/>
    <n v="14.875"/>
    <n v="2.2466897279779205"/>
  </r>
  <r>
    <x v="0"/>
    <x v="77"/>
    <n v="57.449742958971399"/>
    <n v="14"/>
    <x v="76"/>
    <n v="2483.7601775427902"/>
    <x v="2"/>
    <n v="96"/>
    <n v="28"/>
    <n v="57"/>
    <x v="0"/>
    <s v="Carrier B"/>
    <n v="6.7809466256178901"/>
    <s v="Supplier 1"/>
    <x v="1"/>
    <n v="26"/>
    <n v="334"/>
    <n v="5"/>
    <n v="42.952444748991802"/>
    <x v="2"/>
    <n v="3.0551418183075398"/>
    <x v="0"/>
    <s v="Route B"/>
    <n v="852.56809891984994"/>
    <n v="2434.0267861681805"/>
    <n v="15.478260869565217"/>
    <n v="2.2495876530386032"/>
  </r>
  <r>
    <x v="0"/>
    <x v="78"/>
    <n v="6.30688317611191"/>
    <n v="50"/>
    <x v="77"/>
    <n v="1292.45841793775"/>
    <x v="2"/>
    <n v="5"/>
    <n v="4"/>
    <n v="51"/>
    <x v="8"/>
    <s v="Carrier B"/>
    <n v="8.4670497708619905"/>
    <s v="Supplier 5"/>
    <x v="0"/>
    <n v="25"/>
    <n v="858"/>
    <n v="21"/>
    <n v="71.126514720403307"/>
    <x v="0"/>
    <n v="4.0968813324704501"/>
    <x v="3"/>
    <s v="Route C"/>
    <n v="323.59220343132199"/>
    <n v="1212.8648534464846"/>
    <n v="14.909090909090908"/>
    <n v="2.2129715546172886"/>
  </r>
  <r>
    <x v="0"/>
    <x v="79"/>
    <n v="57.057031221103202"/>
    <n v="56"/>
    <x v="78"/>
    <n v="7888.7232684270803"/>
    <x v="0"/>
    <n v="31"/>
    <n v="25"/>
    <n v="20"/>
    <x v="5"/>
    <s v="Carrier B"/>
    <n v="6.49632536429504"/>
    <s v="Supplier 3"/>
    <x v="3"/>
    <n v="5"/>
    <n v="228"/>
    <n v="12"/>
    <n v="57.870902924036201"/>
    <x v="0"/>
    <n v="0.16587162748060799"/>
    <x v="1"/>
    <s v="Route C"/>
    <n v="351.50421933503799"/>
    <n v="7824.3560401387485"/>
    <n v="15.428571428571429"/>
    <n v="2.1232615651957092"/>
  </r>
  <r>
    <x v="1"/>
    <x v="80"/>
    <n v="91.128318350444303"/>
    <n v="75"/>
    <x v="79"/>
    <n v="8651.67268298206"/>
    <x v="2"/>
    <n v="39"/>
    <n v="14"/>
    <n v="41"/>
    <x v="1"/>
    <s v="Carrier C"/>
    <n v="2.8331846794189701"/>
    <s v="Supplier 3"/>
    <x v="4"/>
    <n v="8"/>
    <n v="202"/>
    <n v="5"/>
    <n v="76.961228023819999"/>
    <x v="1"/>
    <n v="2.8496621985053299"/>
    <x v="3"/>
    <s v="Route B"/>
    <n v="787.77985049434403"/>
    <n v="8571.8782702788212"/>
    <n v="14.95"/>
    <n v="2.2211310620814646"/>
  </r>
  <r>
    <x v="0"/>
    <x v="81"/>
    <n v="72.819206930318202"/>
    <n v="9"/>
    <x v="80"/>
    <n v="4384.4134000458598"/>
    <x v="2"/>
    <n v="48"/>
    <n v="6"/>
    <n v="8"/>
    <x v="8"/>
    <s v="Carrier B"/>
    <n v="4.0662775015120403"/>
    <s v="Supplier 3"/>
    <x v="2"/>
    <n v="28"/>
    <n v="698"/>
    <n v="1"/>
    <n v="19.789592941903599"/>
    <x v="0"/>
    <n v="2.54754712154871"/>
    <x v="2"/>
    <s v="Route B"/>
    <n v="276.77833594679799"/>
    <n v="4360.5575296024444"/>
    <n v="15"/>
    <n v="2.1880504759538923"/>
  </r>
  <r>
    <x v="1"/>
    <x v="82"/>
    <n v="17.034930739467899"/>
    <n v="13"/>
    <x v="12"/>
    <n v="2943.3818676094502"/>
    <x v="2"/>
    <n v="42"/>
    <n v="19"/>
    <n v="72"/>
    <x v="5"/>
    <s v="Carrier A"/>
    <n v="4.7081818735419301"/>
    <s v="Supplier 2"/>
    <x v="0"/>
    <n v="6"/>
    <n v="955"/>
    <n v="26"/>
    <n v="4.4652784349432402"/>
    <x v="0"/>
    <n v="4.1378770486223502"/>
    <x v="0"/>
    <s v="Route C"/>
    <n v="589.97855562804"/>
    <n v="2934.2084073009651"/>
    <n v="15.5"/>
    <n v="2.1680784400875139"/>
  </r>
  <r>
    <x v="0"/>
    <x v="83"/>
    <n v="68.911246211606297"/>
    <n v="82"/>
    <x v="81"/>
    <n v="2411.7546321104901"/>
    <x v="2"/>
    <n v="65"/>
    <n v="24"/>
    <n v="7"/>
    <x v="3"/>
    <s v="Carrier B"/>
    <n v="4.94983957799694"/>
    <s v="Supplier 1"/>
    <x v="3"/>
    <n v="20"/>
    <n v="443"/>
    <n v="5"/>
    <n v="97.730593800533001"/>
    <x v="1"/>
    <n v="0.77300613406724705"/>
    <x v="0"/>
    <s v="Route A"/>
    <n v="682.97101822609295"/>
    <n v="2309.0741987319602"/>
    <n v="15.294117647058824"/>
    <n v="2.0522079337031123"/>
  </r>
  <r>
    <x v="0"/>
    <x v="84"/>
    <n v="89.104367292102197"/>
    <n v="99"/>
    <x v="82"/>
    <n v="2048.2900998487098"/>
    <x v="2"/>
    <n v="73"/>
    <n v="26"/>
    <n v="80"/>
    <x v="9"/>
    <s v="Carrier A"/>
    <n v="8.3816156249226292"/>
    <s v="Supplier 5"/>
    <x v="4"/>
    <n v="24"/>
    <n v="589"/>
    <n v="22"/>
    <n v="33.808636513209002"/>
    <x v="2"/>
    <n v="4.8434565771180402"/>
    <x v="1"/>
    <s v="Route B"/>
    <n v="465.45700596368698"/>
    <n v="2006.0998477105782"/>
    <n v="14.75"/>
    <n v="2.1321580461803533"/>
  </r>
  <r>
    <x v="2"/>
    <x v="85"/>
    <n v="76.962994415193805"/>
    <n v="83"/>
    <x v="83"/>
    <n v="8684.6130592538502"/>
    <x v="1"/>
    <n v="15"/>
    <n v="18"/>
    <n v="66"/>
    <x v="1"/>
    <s v="Carrier C"/>
    <n v="8.2491687048717193"/>
    <s v="Supplier 5"/>
    <x v="4"/>
    <n v="4"/>
    <n v="211"/>
    <n v="2"/>
    <n v="69.929345518672307"/>
    <x v="1"/>
    <n v="1.3744289997457499"/>
    <x v="0"/>
    <s v="Route B"/>
    <n v="842.68683000464102"/>
    <n v="8606.4345450303063"/>
    <n v="14"/>
    <n v="1.9514048107845074"/>
  </r>
  <r>
    <x v="1"/>
    <x v="86"/>
    <n v="19.9981769404042"/>
    <n v="18"/>
    <x v="84"/>
    <n v="1229.59102856498"/>
    <x v="2"/>
    <n v="32"/>
    <n v="14"/>
    <n v="22"/>
    <x v="2"/>
    <s v="Carrier B"/>
    <n v="1.4543053101535499"/>
    <s v="Supplier 1"/>
    <x v="0"/>
    <n v="4"/>
    <n v="569"/>
    <n v="18"/>
    <n v="74.608969995194599"/>
    <x v="2"/>
    <n v="2.0515129307662399"/>
    <x v="2"/>
    <s v="Route A"/>
    <n v="264.25488983586598"/>
    <n v="1153.5277532596317"/>
    <n v="13.714285714285714"/>
    <n v="1.9926173687158475"/>
  </r>
  <r>
    <x v="0"/>
    <x v="87"/>
    <n v="80.414036650355698"/>
    <n v="24"/>
    <x v="85"/>
    <n v="5133.8467010866898"/>
    <x v="3"/>
    <n v="5"/>
    <n v="7"/>
    <n v="55"/>
    <x v="9"/>
    <s v="Carrier A"/>
    <n v="6.5758037975485299"/>
    <s v="Supplier 3"/>
    <x v="4"/>
    <n v="27"/>
    <n v="523"/>
    <n v="17"/>
    <n v="28.696996824143099"/>
    <x v="1"/>
    <n v="3.6937377878392699"/>
    <x v="3"/>
    <s v="Route B"/>
    <n v="879.35921773492396"/>
    <n v="5098.5739004649986"/>
    <n v="13.692307692307692"/>
    <n v="1.9880869408658175"/>
  </r>
  <r>
    <x v="2"/>
    <x v="88"/>
    <n v="75.270406975724995"/>
    <n v="58"/>
    <x v="86"/>
    <n v="9444.7420330629793"/>
    <x v="3"/>
    <n v="60"/>
    <n v="18"/>
    <n v="85"/>
    <x v="6"/>
    <s v="Carrier A"/>
    <n v="3.8012531329310701"/>
    <s v="Supplier 2"/>
    <x v="0"/>
    <n v="21"/>
    <n v="953"/>
    <n v="11"/>
    <n v="68.1849190570411"/>
    <x v="0"/>
    <n v="0.722204401882931"/>
    <x v="3"/>
    <s v="Route A"/>
    <n v="103.916247960704"/>
    <n v="9372.7558608730069"/>
    <n v="14.25"/>
    <n v="1.8459493702846965"/>
  </r>
  <r>
    <x v="2"/>
    <x v="89"/>
    <n v="97.760085581938597"/>
    <n v="10"/>
    <x v="63"/>
    <n v="5924.6825668532301"/>
    <x v="2"/>
    <n v="90"/>
    <n v="1"/>
    <n v="27"/>
    <x v="3"/>
    <s v="Carrier B"/>
    <n v="9.9298162452772498"/>
    <s v="Supplier 1"/>
    <x v="1"/>
    <n v="23"/>
    <n v="370"/>
    <n v="11"/>
    <n v="46.603873381644398"/>
    <x v="0"/>
    <n v="1.9076657339590699"/>
    <x v="2"/>
    <s v="Route B"/>
    <n v="517.49997392906005"/>
    <n v="5868.1488772263092"/>
    <n v="13.909090909090908"/>
    <n v="1.9481080037757659"/>
  </r>
  <r>
    <x v="1"/>
    <x v="90"/>
    <n v="13.881913501359101"/>
    <n v="56"/>
    <x v="20"/>
    <n v="9592.6335702803099"/>
    <x v="0"/>
    <n v="66"/>
    <n v="18"/>
    <n v="96"/>
    <x v="6"/>
    <s v="Carrier B"/>
    <n v="7.6744307081126903"/>
    <s v="Supplier 3"/>
    <x v="3"/>
    <n v="8"/>
    <n v="585"/>
    <n v="8"/>
    <n v="85.675963335797903"/>
    <x v="2"/>
    <n v="1.2193822244013801"/>
    <x v="2"/>
    <s v="Route B"/>
    <n v="990.07847250581096"/>
    <n v="9499.2831762363985"/>
    <n v="15.2"/>
    <n v="1.9521522307574355"/>
  </r>
  <r>
    <x v="2"/>
    <x v="91"/>
    <n v="62.111965463961702"/>
    <n v="90"/>
    <x v="87"/>
    <n v="1935.20679350759"/>
    <x v="3"/>
    <n v="98"/>
    <n v="22"/>
    <n v="85"/>
    <x v="6"/>
    <s v="Carrier B"/>
    <n v="7.4715140844011403"/>
    <s v="Supplier 4"/>
    <x v="2"/>
    <n v="5"/>
    <n v="207"/>
    <n v="28"/>
    <n v="39.772882502339897"/>
    <x v="0"/>
    <n v="0.62600185820939402"/>
    <x v="2"/>
    <s v="Route B"/>
    <n v="996.77831495062298"/>
    <n v="1887.962396920849"/>
    <n v="14.888888888888889"/>
    <n v="2.0335711203525531"/>
  </r>
  <r>
    <x v="2"/>
    <x v="92"/>
    <n v="47.714233075820196"/>
    <n v="44"/>
    <x v="88"/>
    <n v="2100.1297546259302"/>
    <x v="3"/>
    <n v="90"/>
    <n v="25"/>
    <n v="10"/>
    <x v="3"/>
    <s v="Carrier B"/>
    <n v="4.4695000261236002"/>
    <s v="Supplier 2"/>
    <x v="0"/>
    <n v="4"/>
    <n v="671"/>
    <n v="29"/>
    <n v="62.612690395614301"/>
    <x v="2"/>
    <n v="0.33343182522473902"/>
    <x v="2"/>
    <s v="Route B"/>
    <n v="230.092782536762"/>
    <n v="2033.0475642041924"/>
    <n v="14"/>
    <n v="2.209517278120448"/>
  </r>
  <r>
    <x v="0"/>
    <x v="93"/>
    <n v="69.290831002905406"/>
    <n v="88"/>
    <x v="89"/>
    <n v="4531.4021336919004"/>
    <x v="2"/>
    <n v="63"/>
    <n v="17"/>
    <n v="66"/>
    <x v="5"/>
    <s v="Carrier C"/>
    <n v="7.00643205900439"/>
    <s v="Supplier 4"/>
    <x v="4"/>
    <n v="21"/>
    <n v="824"/>
    <n v="20"/>
    <n v="35.633652343343797"/>
    <x v="1"/>
    <n v="4.1657817954241398"/>
    <x v="1"/>
    <s v="Route A"/>
    <n v="823.52384588815505"/>
    <n v="4488.7620492895521"/>
    <n v="12.428571428571429"/>
    <n v="2.4775294856769778"/>
  </r>
  <r>
    <x v="2"/>
    <x v="94"/>
    <n v="3.0376887246314102"/>
    <n v="97"/>
    <x v="90"/>
    <n v="7888.3565466618702"/>
    <x v="2"/>
    <n v="77"/>
    <n v="26"/>
    <n v="72"/>
    <x v="7"/>
    <s v="Carrier B"/>
    <n v="6.9429459420325799"/>
    <s v="Supplier 2"/>
    <x v="2"/>
    <n v="12"/>
    <n v="908"/>
    <n v="14"/>
    <n v="60.387378614862101"/>
    <x v="2"/>
    <n v="1.4636074984727701"/>
    <x v="2"/>
    <s v="Route B"/>
    <n v="846.66525698669398"/>
    <n v="7821.0262221049752"/>
    <n v="11.666666666666666"/>
    <n v="2.196154100719117"/>
  </r>
  <r>
    <x v="0"/>
    <x v="95"/>
    <n v="77.903927219447695"/>
    <n v="65"/>
    <x v="91"/>
    <n v="7386.3639440486604"/>
    <x v="2"/>
    <n v="15"/>
    <n v="14"/>
    <n v="26"/>
    <x v="7"/>
    <s v="Carrier B"/>
    <n v="8.6303388696027508"/>
    <s v="Supplier 4"/>
    <x v="0"/>
    <n v="18"/>
    <n v="450"/>
    <n v="26"/>
    <n v="58.890685768589897"/>
    <x v="0"/>
    <n v="1.21088212958506"/>
    <x v="1"/>
    <s v="Route A"/>
    <n v="778.86424137664699"/>
    <n v="7318.8429194104683"/>
    <n v="8.8000000000000007"/>
    <n v="2.3426634211683868"/>
  </r>
  <r>
    <x v="2"/>
    <x v="96"/>
    <n v="24.423131420373299"/>
    <n v="29"/>
    <x v="92"/>
    <n v="7698.4247656321104"/>
    <x v="0"/>
    <n v="67"/>
    <n v="2"/>
    <n v="32"/>
    <x v="4"/>
    <s v="Carrier C"/>
    <n v="5.3528780439967996"/>
    <s v="Supplier 3"/>
    <x v="0"/>
    <n v="28"/>
    <n v="648"/>
    <n v="28"/>
    <n v="17.803756331391199"/>
    <x v="0"/>
    <n v="3.8720476814821301"/>
    <x v="0"/>
    <s v="Route A"/>
    <n v="188.74214114905601"/>
    <n v="7675.2681312567229"/>
    <n v="7.5"/>
    <n v="2.625608744064218"/>
  </r>
  <r>
    <x v="0"/>
    <x v="97"/>
    <n v="3.5261112591434101"/>
    <n v="56"/>
    <x v="93"/>
    <n v="4370.9165799845296"/>
    <x v="3"/>
    <n v="46"/>
    <n v="19"/>
    <n v="4"/>
    <x v="7"/>
    <s v="Carrier A"/>
    <n v="7.9048456112096703"/>
    <s v="Supplier 4"/>
    <x v="0"/>
    <n v="10"/>
    <n v="535"/>
    <n v="13"/>
    <n v="65.765155926367399"/>
    <x v="1"/>
    <n v="3.3762378347179798"/>
    <x v="0"/>
    <s v="Route A"/>
    <n v="540.13242286796697"/>
    <n v="4297.2465784469523"/>
    <n v="9.3333333333333339"/>
    <n v="2.2101290982582475"/>
  </r>
  <r>
    <x v="1"/>
    <x v="98"/>
    <n v="19.754604866878601"/>
    <n v="43"/>
    <x v="94"/>
    <n v="8525.9525596835192"/>
    <x v="1"/>
    <n v="53"/>
    <n v="1"/>
    <n v="27"/>
    <x v="6"/>
    <s v="Carrier B"/>
    <n v="1.4098010951380699"/>
    <s v="Supplier 5"/>
    <x v="4"/>
    <n v="28"/>
    <n v="581"/>
    <n v="9"/>
    <n v="5.6046908643717801"/>
    <x v="0"/>
    <n v="2.9081221693512598"/>
    <x v="2"/>
    <s v="Route A"/>
    <n v="882.19886354704101"/>
    <n v="8518.9380677240097"/>
    <n v="4.5"/>
    <n v="1.6270747300283814"/>
  </r>
  <r>
    <x v="0"/>
    <x v="99"/>
    <n v="68.517832699276596"/>
    <n v="17"/>
    <x v="95"/>
    <n v="9185.1858291817007"/>
    <x v="2"/>
    <n v="55"/>
    <n v="8"/>
    <n v="59"/>
    <x v="2"/>
    <s v="Carrier B"/>
    <n v="1.3110237561206199"/>
    <s v="Supplier 2"/>
    <x v="4"/>
    <n v="29"/>
    <n v="921"/>
    <n v="2"/>
    <n v="38.072898520625998"/>
    <x v="1"/>
    <n v="0.34602729070550298"/>
    <x v="2"/>
    <s v="Route B"/>
    <n v="210.743008964246"/>
    <n v="9145.8019069049533"/>
    <n v="8"/>
    <n v="0.346027290705502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23362-87BA-4874-9649-F833A7361FD8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7:B118" firstHeaderRow="1" firstDataRow="1" firstDataCol="1"/>
  <pivotFields count="27">
    <pivotField showAll="0"/>
    <pivotField axis="axisRow"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dataField="1" showAll="0">
      <items count="97">
        <item x="2"/>
        <item x="44"/>
        <item x="83"/>
        <item x="47"/>
        <item x="69"/>
        <item x="93"/>
        <item x="6"/>
        <item x="85"/>
        <item x="3"/>
        <item x="55"/>
        <item x="48"/>
        <item x="74"/>
        <item x="89"/>
        <item x="60"/>
        <item x="17"/>
        <item x="63"/>
        <item x="25"/>
        <item x="5"/>
        <item x="8"/>
        <item x="50"/>
        <item x="41"/>
        <item x="67"/>
        <item x="31"/>
        <item x="38"/>
        <item x="19"/>
        <item x="78"/>
        <item x="24"/>
        <item x="84"/>
        <item x="56"/>
        <item x="75"/>
        <item x="52"/>
        <item x="62"/>
        <item x="13"/>
        <item x="29"/>
        <item x="61"/>
        <item x="88"/>
        <item x="16"/>
        <item x="20"/>
        <item x="92"/>
        <item x="30"/>
        <item x="12"/>
        <item x="27"/>
        <item x="26"/>
        <item x="76"/>
        <item x="72"/>
        <item x="59"/>
        <item x="23"/>
        <item x="28"/>
        <item x="7"/>
        <item x="35"/>
        <item x="64"/>
        <item x="15"/>
        <item x="71"/>
        <item x="58"/>
        <item x="68"/>
        <item x="66"/>
        <item x="40"/>
        <item x="14"/>
        <item x="42"/>
        <item x="21"/>
        <item x="34"/>
        <item x="33"/>
        <item x="82"/>
        <item x="18"/>
        <item x="53"/>
        <item x="95"/>
        <item x="49"/>
        <item x="70"/>
        <item x="81"/>
        <item x="91"/>
        <item x="54"/>
        <item x="65"/>
        <item x="37"/>
        <item x="1"/>
        <item x="86"/>
        <item x="80"/>
        <item x="32"/>
        <item x="0"/>
        <item x="51"/>
        <item x="45"/>
        <item x="4"/>
        <item x="79"/>
        <item x="22"/>
        <item x="57"/>
        <item x="73"/>
        <item x="46"/>
        <item x="94"/>
        <item x="87"/>
        <item x="43"/>
        <item x="39"/>
        <item x="77"/>
        <item x="11"/>
        <item x="36"/>
        <item x="9"/>
        <item x="90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Number of products sold" fld="4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2E387-D63D-42B5-86B0-00AA7D45D39F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7">
  <location ref="A8:C12" firstHeaderRow="0" firstDataRow="1" firstDataCol="1"/>
  <pivotFields count="27">
    <pivotField axis="axisRow" showAll="0">
      <items count="4">
        <item x="2"/>
        <item x="0"/>
        <item x="1"/>
        <item t="default"/>
      </items>
    </pivotField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4" baseField="0" baseItem="0" numFmtId="164"/>
    <dataField name="Sum of Revenue generated" fld="5" baseField="0" baseItem="0"/>
  </dataFields>
  <chartFormats count="2">
    <chartFormat chart="7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0C0F2-8A72-4900-A879-099E33CF67C7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" firstHeaderRow="0" firstDataRow="1" firstDataCol="0"/>
  <pivotFields count="27">
    <pivotField showAll="0"/>
    <pivotField dataField="1"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SKU" fld="1" subtotal="count" baseField="0" baseItem="0"/>
    <dataField name="Sum of Number of products sold" fld="4" baseField="0" baseItem="0"/>
    <dataField name="Sum of Revenue generated" fld="5" baseField="0" baseItem="0"/>
    <dataField name="Sum of Profit" fld="24" baseField="0" baseItem="0"/>
    <dataField name="Average of Average lead time" fld="25" subtotal="average" baseField="0" baseItem="0"/>
    <dataField name="Average of Average Defect Rate" fld="2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FA42D-BA4F-494C-A5E6-469FB4EA643F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8">
  <location ref="D33:E39" firstHeaderRow="1" firstDataRow="1" firstDataCol="1"/>
  <pivotFields count="27">
    <pivotField showAll="0">
      <items count="4">
        <item x="2"/>
        <item x="0"/>
        <item x="1"/>
        <item t="default"/>
      </items>
    </pivotField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dataField="1"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 generated" fld="5" baseField="0" baseItem="0"/>
  </dataFields>
  <chartFormats count="2">
    <chartFormat chart="1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05410-8939-456F-A446-A7E7943000A8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5">
  <location ref="D24:E29" firstHeaderRow="1" firstDataRow="1" firstDataCol="1"/>
  <pivotFields count="27">
    <pivotField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dataField="1"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ber of products sold" fld="4" baseField="0" baseItem="0"/>
  </dataFields>
  <chartFormats count="13">
    <chartFormat chart="9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8AD26-323A-4810-84C3-47311E0753F4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5">
  <location ref="D16:I21" firstHeaderRow="1" firstDataRow="2" firstDataCol="1"/>
  <pivotFields count="27"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 v="2"/>
    </i>
    <i>
      <x v="1"/>
    </i>
    <i>
      <x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Number of products sold" fld="4" baseField="0" baseItem="0"/>
  </dataFields>
  <chartFormats count="4">
    <chartFormat chart="9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4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4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4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4817C-529F-4760-A946-E8C756B292E8}" name="PivotTable3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27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8B66B-C70A-4094-85FF-4B8D5584265E}" name="PivotTable1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B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5"/>
        <item x="1"/>
        <item x="4"/>
        <item x="0"/>
        <item x="8"/>
        <item x="2"/>
        <item x="6"/>
        <item x="3"/>
        <item x="7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hipping times" fld="10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79A9-BBB8-4946-B25A-82B8E35CC645}">
  <dimension ref="A1"/>
  <sheetViews>
    <sheetView tabSelected="1" zoomScale="92" workbookViewId="0">
      <selection activeCell="J56" sqref="J56"/>
    </sheetView>
  </sheetViews>
  <sheetFormatPr defaultRowHeight="14.4" x14ac:dyDescent="0.3"/>
  <cols>
    <col min="1" max="1" width="4" customWidth="1"/>
    <col min="2" max="2" width="16.88671875" customWidth="1"/>
    <col min="3" max="3" width="4" customWidth="1"/>
  </cols>
  <sheetData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64B2-7E18-4858-9935-4139B927991A}">
  <dimension ref="A2:M118"/>
  <sheetViews>
    <sheetView topLeftCell="A13" zoomScale="72" workbookViewId="0">
      <selection activeCell="H39" sqref="H39"/>
    </sheetView>
  </sheetViews>
  <sheetFormatPr defaultRowHeight="14.4" x14ac:dyDescent="0.3"/>
  <cols>
    <col min="1" max="1" width="13.88671875" bestFit="1" customWidth="1"/>
    <col min="2" max="2" width="28.21875" bestFit="1" customWidth="1"/>
    <col min="3" max="3" width="25.5546875" bestFit="1" customWidth="1"/>
    <col min="4" max="4" width="12.44140625" bestFit="1" customWidth="1"/>
    <col min="5" max="5" width="23.21875" bestFit="1" customWidth="1"/>
    <col min="6" max="6" width="16.5546875" bestFit="1" customWidth="1"/>
    <col min="7" max="7" width="10.21875" bestFit="1" customWidth="1"/>
    <col min="8" max="8" width="8.88671875" bestFit="1" customWidth="1"/>
    <col min="9" max="9" width="10.5546875" bestFit="1" customWidth="1"/>
  </cols>
  <sheetData>
    <row r="2" spans="1:13" x14ac:dyDescent="0.3">
      <c r="H2" t="s">
        <v>164</v>
      </c>
    </row>
    <row r="3" spans="1:13" x14ac:dyDescent="0.3">
      <c r="A3" t="s">
        <v>154</v>
      </c>
      <c r="B3" t="s">
        <v>157</v>
      </c>
      <c r="C3" t="s">
        <v>155</v>
      </c>
      <c r="D3" t="s">
        <v>161</v>
      </c>
      <c r="E3" t="s">
        <v>162</v>
      </c>
      <c r="F3" t="s">
        <v>163</v>
      </c>
      <c r="H3" t="s">
        <v>165</v>
      </c>
      <c r="I3" t="s">
        <v>166</v>
      </c>
      <c r="J3" t="s">
        <v>156</v>
      </c>
      <c r="K3" t="s">
        <v>158</v>
      </c>
      <c r="L3" t="s">
        <v>167</v>
      </c>
      <c r="M3" t="s">
        <v>168</v>
      </c>
    </row>
    <row r="4" spans="1:13" x14ac:dyDescent="0.3">
      <c r="A4">
        <v>100</v>
      </c>
      <c r="B4">
        <v>46099</v>
      </c>
      <c r="C4">
        <v>577604.81873800792</v>
      </c>
      <c r="D4">
        <v>572323.33450665907</v>
      </c>
      <c r="E4">
        <v>15.036657493003396</v>
      </c>
      <c r="F4">
        <v>2.2227791053075219</v>
      </c>
      <c r="H4" t="str">
        <f>TEXT(A4,"#,##")</f>
        <v>100</v>
      </c>
      <c r="I4" t="str">
        <f>TEXT(B4,"#,##")</f>
        <v>46,099</v>
      </c>
      <c r="J4" t="str">
        <f>TEXT(C4,"$#,##,.0k")</f>
        <v>$577.6k</v>
      </c>
      <c r="K4" t="str">
        <f>TEXT(D4,"$#,##,.0k")</f>
        <v>$572.3k</v>
      </c>
      <c r="L4" t="str">
        <f>TEXT(E4,"0.0")</f>
        <v>15.0</v>
      </c>
      <c r="M4" t="str">
        <f>TEXT(F4,"0.0")</f>
        <v>2.2</v>
      </c>
    </row>
    <row r="8" spans="1:13" x14ac:dyDescent="0.3">
      <c r="A8" s="2" t="s">
        <v>169</v>
      </c>
      <c r="B8" t="s">
        <v>161</v>
      </c>
      <c r="C8" t="s">
        <v>155</v>
      </c>
    </row>
    <row r="9" spans="1:13" x14ac:dyDescent="0.3">
      <c r="A9" s="3" t="s">
        <v>57</v>
      </c>
      <c r="B9" s="4">
        <v>160244.3310839824</v>
      </c>
      <c r="C9">
        <v>161521.26599948306</v>
      </c>
    </row>
    <row r="10" spans="1:13" x14ac:dyDescent="0.3">
      <c r="A10" s="3" t="s">
        <v>24</v>
      </c>
      <c r="B10" s="4">
        <v>172606.95509456514</v>
      </c>
      <c r="C10">
        <v>174455.39060546222</v>
      </c>
    </row>
    <row r="11" spans="1:13" x14ac:dyDescent="0.3">
      <c r="A11" s="3" t="s">
        <v>33</v>
      </c>
      <c r="B11" s="4">
        <v>239472.04832811165</v>
      </c>
      <c r="C11">
        <v>241628.16213306302</v>
      </c>
    </row>
    <row r="12" spans="1:13" x14ac:dyDescent="0.3">
      <c r="A12" s="3" t="s">
        <v>170</v>
      </c>
      <c r="B12" s="4">
        <v>572323.33450665919</v>
      </c>
      <c r="C12">
        <v>577604.81873800838</v>
      </c>
    </row>
    <row r="16" spans="1:13" x14ac:dyDescent="0.3">
      <c r="D16" s="2" t="s">
        <v>157</v>
      </c>
      <c r="E16" s="2" t="s">
        <v>171</v>
      </c>
    </row>
    <row r="17" spans="1:9" x14ac:dyDescent="0.3">
      <c r="A17" s="2" t="s">
        <v>169</v>
      </c>
      <c r="B17" t="s">
        <v>157</v>
      </c>
      <c r="D17" s="2" t="s">
        <v>169</v>
      </c>
      <c r="E17" t="s">
        <v>35</v>
      </c>
      <c r="F17" t="s">
        <v>55</v>
      </c>
      <c r="G17" t="s">
        <v>26</v>
      </c>
      <c r="H17" t="s">
        <v>38</v>
      </c>
      <c r="I17" t="s">
        <v>170</v>
      </c>
    </row>
    <row r="18" spans="1:9" x14ac:dyDescent="0.3">
      <c r="A18" s="3" t="s">
        <v>25</v>
      </c>
      <c r="B18">
        <v>802</v>
      </c>
      <c r="D18" s="3" t="s">
        <v>33</v>
      </c>
      <c r="E18">
        <v>7853</v>
      </c>
      <c r="F18">
        <v>2911</v>
      </c>
      <c r="G18">
        <v>5153</v>
      </c>
      <c r="H18">
        <v>4814</v>
      </c>
      <c r="I18">
        <v>20731</v>
      </c>
    </row>
    <row r="19" spans="1:9" x14ac:dyDescent="0.3">
      <c r="A19" s="3" t="s">
        <v>34</v>
      </c>
      <c r="B19">
        <v>736</v>
      </c>
      <c r="D19" s="3" t="s">
        <v>24</v>
      </c>
      <c r="E19">
        <v>936</v>
      </c>
      <c r="F19">
        <v>2292</v>
      </c>
      <c r="G19">
        <v>2820</v>
      </c>
      <c r="H19">
        <v>7563</v>
      </c>
      <c r="I19">
        <v>13611</v>
      </c>
    </row>
    <row r="20" spans="1:9" x14ac:dyDescent="0.3">
      <c r="A20" s="3" t="s">
        <v>63</v>
      </c>
      <c r="B20">
        <v>996</v>
      </c>
      <c r="D20" s="3" t="s">
        <v>57</v>
      </c>
      <c r="E20">
        <v>4012</v>
      </c>
      <c r="F20">
        <v>2304</v>
      </c>
      <c r="G20">
        <v>2607</v>
      </c>
      <c r="H20">
        <v>2834</v>
      </c>
      <c r="I20">
        <v>11757</v>
      </c>
    </row>
    <row r="21" spans="1:9" x14ac:dyDescent="0.3">
      <c r="A21" s="3" t="s">
        <v>65</v>
      </c>
      <c r="B21">
        <v>960</v>
      </c>
      <c r="D21" s="3" t="s">
        <v>170</v>
      </c>
      <c r="E21">
        <v>12801</v>
      </c>
      <c r="F21">
        <v>7507</v>
      </c>
      <c r="G21">
        <v>10580</v>
      </c>
      <c r="H21">
        <v>15211</v>
      </c>
      <c r="I21">
        <v>46099</v>
      </c>
    </row>
    <row r="22" spans="1:9" x14ac:dyDescent="0.3">
      <c r="A22" s="3" t="s">
        <v>66</v>
      </c>
      <c r="B22">
        <v>336</v>
      </c>
    </row>
    <row r="23" spans="1:9" x14ac:dyDescent="0.3">
      <c r="A23" s="3" t="s">
        <v>67</v>
      </c>
      <c r="B23">
        <v>249</v>
      </c>
    </row>
    <row r="24" spans="1:9" x14ac:dyDescent="0.3">
      <c r="A24" s="3" t="s">
        <v>68</v>
      </c>
      <c r="B24">
        <v>562</v>
      </c>
      <c r="D24" s="2" t="s">
        <v>169</v>
      </c>
      <c r="E24" t="s">
        <v>157</v>
      </c>
    </row>
    <row r="25" spans="1:9" x14ac:dyDescent="0.3">
      <c r="A25" s="3" t="s">
        <v>69</v>
      </c>
      <c r="B25">
        <v>469</v>
      </c>
      <c r="D25" s="3" t="s">
        <v>35</v>
      </c>
      <c r="E25">
        <v>12801</v>
      </c>
    </row>
    <row r="26" spans="1:9" x14ac:dyDescent="0.3">
      <c r="A26" s="3" t="s">
        <v>70</v>
      </c>
      <c r="B26">
        <v>280</v>
      </c>
      <c r="D26" s="3" t="s">
        <v>55</v>
      </c>
      <c r="E26">
        <v>7507</v>
      </c>
    </row>
    <row r="27" spans="1:9" x14ac:dyDescent="0.3">
      <c r="A27" s="3" t="s">
        <v>71</v>
      </c>
      <c r="B27">
        <v>126</v>
      </c>
      <c r="D27" s="3" t="s">
        <v>26</v>
      </c>
      <c r="E27">
        <v>10580</v>
      </c>
    </row>
    <row r="28" spans="1:9" x14ac:dyDescent="0.3">
      <c r="A28" s="3" t="s">
        <v>72</v>
      </c>
      <c r="B28">
        <v>620</v>
      </c>
      <c r="D28" s="3" t="s">
        <v>38</v>
      </c>
      <c r="E28">
        <v>15211</v>
      </c>
    </row>
    <row r="29" spans="1:9" x14ac:dyDescent="0.3">
      <c r="A29" s="3" t="s">
        <v>73</v>
      </c>
      <c r="B29">
        <v>187</v>
      </c>
      <c r="D29" s="3" t="s">
        <v>170</v>
      </c>
      <c r="E29">
        <v>46099</v>
      </c>
    </row>
    <row r="30" spans="1:9" x14ac:dyDescent="0.3">
      <c r="A30" s="3" t="s">
        <v>37</v>
      </c>
      <c r="B30">
        <v>8</v>
      </c>
    </row>
    <row r="31" spans="1:9" x14ac:dyDescent="0.3">
      <c r="A31" s="3" t="s">
        <v>74</v>
      </c>
      <c r="B31">
        <v>320</v>
      </c>
    </row>
    <row r="32" spans="1:9" x14ac:dyDescent="0.3">
      <c r="A32" s="3" t="s">
        <v>75</v>
      </c>
      <c r="B32">
        <v>601</v>
      </c>
    </row>
    <row r="33" spans="1:8" x14ac:dyDescent="0.3">
      <c r="A33" s="3" t="s">
        <v>76</v>
      </c>
      <c r="B33">
        <v>884</v>
      </c>
      <c r="D33" s="2" t="s">
        <v>169</v>
      </c>
      <c r="E33" t="s">
        <v>155</v>
      </c>
    </row>
    <row r="34" spans="1:8" x14ac:dyDescent="0.3">
      <c r="A34" s="3" t="s">
        <v>77</v>
      </c>
      <c r="B34">
        <v>391</v>
      </c>
      <c r="D34" s="3" t="s">
        <v>53</v>
      </c>
      <c r="E34">
        <v>102601.72388223567</v>
      </c>
    </row>
    <row r="35" spans="1:8" x14ac:dyDescent="0.3">
      <c r="A35" s="3" t="s">
        <v>78</v>
      </c>
      <c r="B35">
        <v>209</v>
      </c>
      <c r="D35" s="3" t="s">
        <v>62</v>
      </c>
      <c r="E35">
        <v>119142.8157480693</v>
      </c>
    </row>
    <row r="36" spans="1:8" x14ac:dyDescent="0.3">
      <c r="A36" s="3" t="s">
        <v>79</v>
      </c>
      <c r="B36">
        <v>142</v>
      </c>
      <c r="D36" s="3" t="s">
        <v>50</v>
      </c>
      <c r="E36">
        <v>81027.701224852935</v>
      </c>
    </row>
    <row r="37" spans="1:8" x14ac:dyDescent="0.3">
      <c r="A37" s="3" t="s">
        <v>80</v>
      </c>
      <c r="B37">
        <v>353</v>
      </c>
      <c r="D37" s="3" t="s">
        <v>45</v>
      </c>
      <c r="E37">
        <v>137077.55100538101</v>
      </c>
    </row>
    <row r="38" spans="1:8" x14ac:dyDescent="0.3">
      <c r="A38" s="3" t="s">
        <v>81</v>
      </c>
      <c r="B38">
        <v>352</v>
      </c>
      <c r="D38" s="3" t="s">
        <v>29</v>
      </c>
      <c r="E38">
        <v>137755.02687746932</v>
      </c>
    </row>
    <row r="39" spans="1:8" x14ac:dyDescent="0.3">
      <c r="A39" s="3" t="s">
        <v>82</v>
      </c>
      <c r="B39">
        <v>394</v>
      </c>
      <c r="D39" s="3" t="s">
        <v>170</v>
      </c>
      <c r="E39">
        <v>577604.81873800815</v>
      </c>
    </row>
    <row r="40" spans="1:8" x14ac:dyDescent="0.3">
      <c r="A40" s="3" t="s">
        <v>83</v>
      </c>
      <c r="B40">
        <v>253</v>
      </c>
    </row>
    <row r="41" spans="1:8" x14ac:dyDescent="0.3">
      <c r="A41" s="3" t="s">
        <v>42</v>
      </c>
      <c r="B41">
        <v>83</v>
      </c>
    </row>
    <row r="42" spans="1:8" x14ac:dyDescent="0.3">
      <c r="A42" s="3" t="s">
        <v>84</v>
      </c>
      <c r="B42">
        <v>327</v>
      </c>
    </row>
    <row r="43" spans="1:8" x14ac:dyDescent="0.3">
      <c r="A43" s="3" t="s">
        <v>85</v>
      </c>
      <c r="B43">
        <v>168</v>
      </c>
      <c r="D43" s="1" t="s">
        <v>169</v>
      </c>
      <c r="E43" s="1" t="s">
        <v>157</v>
      </c>
      <c r="G43" s="1" t="s">
        <v>169</v>
      </c>
      <c r="H43" s="1" t="s">
        <v>155</v>
      </c>
    </row>
    <row r="44" spans="1:8" x14ac:dyDescent="0.3">
      <c r="A44" s="3" t="s">
        <v>86</v>
      </c>
      <c r="B44">
        <v>781</v>
      </c>
      <c r="D44" s="3" t="s">
        <v>53</v>
      </c>
      <c r="E44">
        <v>5420</v>
      </c>
      <c r="G44" s="3" t="s">
        <v>53</v>
      </c>
      <c r="H44">
        <v>102601.72388223567</v>
      </c>
    </row>
    <row r="45" spans="1:8" x14ac:dyDescent="0.3">
      <c r="A45" s="3" t="s">
        <v>87</v>
      </c>
      <c r="B45">
        <v>616</v>
      </c>
      <c r="D45" s="3" t="s">
        <v>62</v>
      </c>
      <c r="E45">
        <v>8768</v>
      </c>
      <c r="G45" s="3" t="s">
        <v>62</v>
      </c>
      <c r="H45">
        <v>119142.8157480693</v>
      </c>
    </row>
    <row r="46" spans="1:8" x14ac:dyDescent="0.3">
      <c r="A46" s="3" t="s">
        <v>88</v>
      </c>
      <c r="B46">
        <v>602</v>
      </c>
      <c r="D46" s="3" t="s">
        <v>50</v>
      </c>
      <c r="E46">
        <v>9715</v>
      </c>
      <c r="G46" s="3" t="s">
        <v>50</v>
      </c>
      <c r="H46">
        <v>81027.701224852935</v>
      </c>
    </row>
    <row r="47" spans="1:8" x14ac:dyDescent="0.3">
      <c r="A47" s="3" t="s">
        <v>89</v>
      </c>
      <c r="B47">
        <v>449</v>
      </c>
      <c r="D47" s="3" t="s">
        <v>45</v>
      </c>
      <c r="E47">
        <v>12770</v>
      </c>
      <c r="G47" s="3" t="s">
        <v>45</v>
      </c>
      <c r="H47">
        <v>137077.55100538101</v>
      </c>
    </row>
    <row r="48" spans="1:8" x14ac:dyDescent="0.3">
      <c r="A48" s="3" t="s">
        <v>90</v>
      </c>
      <c r="B48">
        <v>963</v>
      </c>
      <c r="D48" s="3" t="s">
        <v>29</v>
      </c>
      <c r="E48">
        <v>9426</v>
      </c>
      <c r="G48" s="3" t="s">
        <v>29</v>
      </c>
      <c r="H48">
        <v>137755.02687746932</v>
      </c>
    </row>
    <row r="49" spans="1:8" x14ac:dyDescent="0.3">
      <c r="A49" s="3" t="s">
        <v>91</v>
      </c>
      <c r="B49">
        <v>963</v>
      </c>
      <c r="D49" s="20" t="s">
        <v>170</v>
      </c>
      <c r="E49" s="21">
        <v>46099</v>
      </c>
      <c r="G49" s="20" t="s">
        <v>170</v>
      </c>
      <c r="H49" s="21">
        <v>577604.81873800815</v>
      </c>
    </row>
    <row r="50" spans="1:8" x14ac:dyDescent="0.3">
      <c r="A50" s="3" t="s">
        <v>92</v>
      </c>
      <c r="B50">
        <v>705</v>
      </c>
    </row>
    <row r="51" spans="1:8" x14ac:dyDescent="0.3">
      <c r="A51" s="3" t="s">
        <v>93</v>
      </c>
      <c r="B51">
        <v>176</v>
      </c>
    </row>
    <row r="52" spans="1:8" x14ac:dyDescent="0.3">
      <c r="A52" s="3" t="s">
        <v>49</v>
      </c>
      <c r="B52">
        <v>871</v>
      </c>
    </row>
    <row r="53" spans="1:8" x14ac:dyDescent="0.3">
      <c r="A53" s="3" t="s">
        <v>94</v>
      </c>
      <c r="B53">
        <v>933</v>
      </c>
    </row>
    <row r="54" spans="1:8" x14ac:dyDescent="0.3">
      <c r="A54" s="3" t="s">
        <v>95</v>
      </c>
      <c r="B54">
        <v>556</v>
      </c>
    </row>
    <row r="55" spans="1:8" x14ac:dyDescent="0.3">
      <c r="A55" s="3" t="s">
        <v>96</v>
      </c>
      <c r="B55">
        <v>155</v>
      </c>
    </row>
    <row r="56" spans="1:8" x14ac:dyDescent="0.3">
      <c r="A56" s="3" t="s">
        <v>97</v>
      </c>
      <c r="B56">
        <v>598</v>
      </c>
    </row>
    <row r="57" spans="1:8" x14ac:dyDescent="0.3">
      <c r="A57" s="3" t="s">
        <v>98</v>
      </c>
      <c r="B57">
        <v>919</v>
      </c>
    </row>
    <row r="58" spans="1:8" x14ac:dyDescent="0.3">
      <c r="A58" s="3" t="s">
        <v>99</v>
      </c>
      <c r="B58">
        <v>24</v>
      </c>
    </row>
    <row r="59" spans="1:8" x14ac:dyDescent="0.3">
      <c r="A59" s="3" t="s">
        <v>100</v>
      </c>
      <c r="B59">
        <v>859</v>
      </c>
    </row>
    <row r="60" spans="1:8" x14ac:dyDescent="0.3">
      <c r="A60" s="3" t="s">
        <v>101</v>
      </c>
      <c r="B60">
        <v>910</v>
      </c>
    </row>
    <row r="61" spans="1:8" x14ac:dyDescent="0.3">
      <c r="A61" s="3" t="s">
        <v>102</v>
      </c>
      <c r="B61">
        <v>29</v>
      </c>
    </row>
    <row r="62" spans="1:8" x14ac:dyDescent="0.3">
      <c r="A62" s="3" t="s">
        <v>103</v>
      </c>
      <c r="B62">
        <v>99</v>
      </c>
    </row>
    <row r="63" spans="1:8" x14ac:dyDescent="0.3">
      <c r="A63" s="3" t="s">
        <v>51</v>
      </c>
      <c r="B63">
        <v>147</v>
      </c>
    </row>
    <row r="64" spans="1:8" x14ac:dyDescent="0.3">
      <c r="A64" s="3" t="s">
        <v>104</v>
      </c>
      <c r="B64">
        <v>633</v>
      </c>
    </row>
    <row r="65" spans="1:2" x14ac:dyDescent="0.3">
      <c r="A65" s="3" t="s">
        <v>105</v>
      </c>
      <c r="B65">
        <v>154</v>
      </c>
    </row>
    <row r="66" spans="1:2" x14ac:dyDescent="0.3">
      <c r="A66" s="3" t="s">
        <v>106</v>
      </c>
      <c r="B66">
        <v>820</v>
      </c>
    </row>
    <row r="67" spans="1:2" x14ac:dyDescent="0.3">
      <c r="A67" s="3" t="s">
        <v>107</v>
      </c>
      <c r="B67">
        <v>242</v>
      </c>
    </row>
    <row r="68" spans="1:2" x14ac:dyDescent="0.3">
      <c r="A68" s="3" t="s">
        <v>108</v>
      </c>
      <c r="B68">
        <v>622</v>
      </c>
    </row>
    <row r="69" spans="1:2" x14ac:dyDescent="0.3">
      <c r="A69" s="3" t="s">
        <v>109</v>
      </c>
      <c r="B69">
        <v>701</v>
      </c>
    </row>
    <row r="70" spans="1:2" x14ac:dyDescent="0.3">
      <c r="A70" s="3" t="s">
        <v>110</v>
      </c>
      <c r="B70">
        <v>93</v>
      </c>
    </row>
    <row r="71" spans="1:2" x14ac:dyDescent="0.3">
      <c r="A71" s="3" t="s">
        <v>111</v>
      </c>
      <c r="B71">
        <v>227</v>
      </c>
    </row>
    <row r="72" spans="1:2" x14ac:dyDescent="0.3">
      <c r="A72" s="3" t="s">
        <v>112</v>
      </c>
      <c r="B72">
        <v>896</v>
      </c>
    </row>
    <row r="73" spans="1:2" x14ac:dyDescent="0.3">
      <c r="A73" s="3" t="s">
        <v>113</v>
      </c>
      <c r="B73">
        <v>484</v>
      </c>
    </row>
    <row r="74" spans="1:2" x14ac:dyDescent="0.3">
      <c r="A74" s="3" t="s">
        <v>54</v>
      </c>
      <c r="B74">
        <v>65</v>
      </c>
    </row>
    <row r="75" spans="1:2" x14ac:dyDescent="0.3">
      <c r="A75" s="3" t="s">
        <v>114</v>
      </c>
      <c r="B75">
        <v>380</v>
      </c>
    </row>
    <row r="76" spans="1:2" x14ac:dyDescent="0.3">
      <c r="A76" s="3" t="s">
        <v>115</v>
      </c>
      <c r="B76">
        <v>117</v>
      </c>
    </row>
    <row r="77" spans="1:2" x14ac:dyDescent="0.3">
      <c r="A77" s="3" t="s">
        <v>116</v>
      </c>
      <c r="B77">
        <v>270</v>
      </c>
    </row>
    <row r="78" spans="1:2" x14ac:dyDescent="0.3">
      <c r="A78" s="3" t="s">
        <v>117</v>
      </c>
      <c r="B78">
        <v>246</v>
      </c>
    </row>
    <row r="79" spans="1:2" x14ac:dyDescent="0.3">
      <c r="A79" s="3" t="s">
        <v>118</v>
      </c>
      <c r="B79">
        <v>134</v>
      </c>
    </row>
    <row r="80" spans="1:2" x14ac:dyDescent="0.3">
      <c r="A80" s="3" t="s">
        <v>119</v>
      </c>
      <c r="B80">
        <v>457</v>
      </c>
    </row>
    <row r="81" spans="1:2" x14ac:dyDescent="0.3">
      <c r="A81" s="3" t="s">
        <v>120</v>
      </c>
      <c r="B81">
        <v>704</v>
      </c>
    </row>
    <row r="82" spans="1:2" x14ac:dyDescent="0.3">
      <c r="A82" s="3" t="s">
        <v>121</v>
      </c>
      <c r="B82">
        <v>513</v>
      </c>
    </row>
    <row r="83" spans="1:2" x14ac:dyDescent="0.3">
      <c r="A83" s="3" t="s">
        <v>122</v>
      </c>
      <c r="B83">
        <v>163</v>
      </c>
    </row>
    <row r="84" spans="1:2" x14ac:dyDescent="0.3">
      <c r="A84" s="3" t="s">
        <v>123</v>
      </c>
      <c r="B84">
        <v>511</v>
      </c>
    </row>
    <row r="85" spans="1:2" x14ac:dyDescent="0.3">
      <c r="A85" s="3" t="s">
        <v>58</v>
      </c>
      <c r="B85">
        <v>426</v>
      </c>
    </row>
    <row r="86" spans="1:2" x14ac:dyDescent="0.3">
      <c r="A86" s="3" t="s">
        <v>124</v>
      </c>
      <c r="B86">
        <v>32</v>
      </c>
    </row>
    <row r="87" spans="1:2" x14ac:dyDescent="0.3">
      <c r="A87" s="3" t="s">
        <v>125</v>
      </c>
      <c r="B87">
        <v>637</v>
      </c>
    </row>
    <row r="88" spans="1:2" x14ac:dyDescent="0.3">
      <c r="A88" s="3" t="s">
        <v>126</v>
      </c>
      <c r="B88">
        <v>478</v>
      </c>
    </row>
    <row r="89" spans="1:2" x14ac:dyDescent="0.3">
      <c r="A89" s="3" t="s">
        <v>127</v>
      </c>
      <c r="B89">
        <v>375</v>
      </c>
    </row>
    <row r="90" spans="1:2" x14ac:dyDescent="0.3">
      <c r="A90" s="3" t="s">
        <v>128</v>
      </c>
      <c r="B90">
        <v>904</v>
      </c>
    </row>
    <row r="91" spans="1:2" x14ac:dyDescent="0.3">
      <c r="A91" s="3" t="s">
        <v>129</v>
      </c>
      <c r="B91">
        <v>106</v>
      </c>
    </row>
    <row r="92" spans="1:2" x14ac:dyDescent="0.3">
      <c r="A92" s="3" t="s">
        <v>130</v>
      </c>
      <c r="B92">
        <v>241</v>
      </c>
    </row>
    <row r="93" spans="1:2" x14ac:dyDescent="0.3">
      <c r="A93" s="3" t="s">
        <v>131</v>
      </c>
      <c r="B93">
        <v>359</v>
      </c>
    </row>
    <row r="94" spans="1:2" x14ac:dyDescent="0.3">
      <c r="A94" s="3" t="s">
        <v>132</v>
      </c>
      <c r="B94">
        <v>946</v>
      </c>
    </row>
    <row r="95" spans="1:2" x14ac:dyDescent="0.3">
      <c r="A95" s="3" t="s">
        <v>133</v>
      </c>
      <c r="B95">
        <v>198</v>
      </c>
    </row>
    <row r="96" spans="1:2" x14ac:dyDescent="0.3">
      <c r="A96" s="3" t="s">
        <v>59</v>
      </c>
      <c r="B96">
        <v>150</v>
      </c>
    </row>
    <row r="97" spans="1:2" x14ac:dyDescent="0.3">
      <c r="A97" s="3" t="s">
        <v>134</v>
      </c>
      <c r="B97">
        <v>872</v>
      </c>
    </row>
    <row r="98" spans="1:2" x14ac:dyDescent="0.3">
      <c r="A98" s="3" t="s">
        <v>135</v>
      </c>
      <c r="B98">
        <v>774</v>
      </c>
    </row>
    <row r="99" spans="1:2" x14ac:dyDescent="0.3">
      <c r="A99" s="3" t="s">
        <v>136</v>
      </c>
      <c r="B99">
        <v>336</v>
      </c>
    </row>
    <row r="100" spans="1:2" x14ac:dyDescent="0.3">
      <c r="A100" s="3" t="s">
        <v>137</v>
      </c>
      <c r="B100">
        <v>663</v>
      </c>
    </row>
    <row r="101" spans="1:2" x14ac:dyDescent="0.3">
      <c r="A101" s="3" t="s">
        <v>138</v>
      </c>
      <c r="B101">
        <v>618</v>
      </c>
    </row>
    <row r="102" spans="1:2" x14ac:dyDescent="0.3">
      <c r="A102" s="3" t="s">
        <v>139</v>
      </c>
      <c r="B102">
        <v>25</v>
      </c>
    </row>
    <row r="103" spans="1:2" x14ac:dyDescent="0.3">
      <c r="A103" s="3" t="s">
        <v>140</v>
      </c>
      <c r="B103">
        <v>223</v>
      </c>
    </row>
    <row r="104" spans="1:2" x14ac:dyDescent="0.3">
      <c r="A104" s="3" t="s">
        <v>141</v>
      </c>
      <c r="B104">
        <v>79</v>
      </c>
    </row>
    <row r="105" spans="1:2" x14ac:dyDescent="0.3">
      <c r="A105" s="3" t="s">
        <v>142</v>
      </c>
      <c r="B105">
        <v>737</v>
      </c>
    </row>
    <row r="106" spans="1:2" x14ac:dyDescent="0.3">
      <c r="A106" s="3" t="s">
        <v>143</v>
      </c>
      <c r="B106">
        <v>134</v>
      </c>
    </row>
    <row r="107" spans="1:2" x14ac:dyDescent="0.3">
      <c r="A107" s="3" t="s">
        <v>60</v>
      </c>
      <c r="B107">
        <v>980</v>
      </c>
    </row>
    <row r="108" spans="1:2" x14ac:dyDescent="0.3">
      <c r="A108" s="3" t="s">
        <v>144</v>
      </c>
      <c r="B108">
        <v>320</v>
      </c>
    </row>
    <row r="109" spans="1:2" x14ac:dyDescent="0.3">
      <c r="A109" s="3" t="s">
        <v>145</v>
      </c>
      <c r="B109">
        <v>916</v>
      </c>
    </row>
    <row r="110" spans="1:2" x14ac:dyDescent="0.3">
      <c r="A110" s="3" t="s">
        <v>146</v>
      </c>
      <c r="B110">
        <v>276</v>
      </c>
    </row>
    <row r="111" spans="1:2" x14ac:dyDescent="0.3">
      <c r="A111" s="3" t="s">
        <v>147</v>
      </c>
      <c r="B111">
        <v>114</v>
      </c>
    </row>
    <row r="112" spans="1:2" x14ac:dyDescent="0.3">
      <c r="A112" s="3" t="s">
        <v>148</v>
      </c>
      <c r="B112">
        <v>987</v>
      </c>
    </row>
    <row r="113" spans="1:2" x14ac:dyDescent="0.3">
      <c r="A113" s="3" t="s">
        <v>149</v>
      </c>
      <c r="B113">
        <v>672</v>
      </c>
    </row>
    <row r="114" spans="1:2" x14ac:dyDescent="0.3">
      <c r="A114" s="3" t="s">
        <v>150</v>
      </c>
      <c r="B114">
        <v>324</v>
      </c>
    </row>
    <row r="115" spans="1:2" x14ac:dyDescent="0.3">
      <c r="A115" s="3" t="s">
        <v>151</v>
      </c>
      <c r="B115">
        <v>62</v>
      </c>
    </row>
    <row r="116" spans="1:2" x14ac:dyDescent="0.3">
      <c r="A116" s="3" t="s">
        <v>152</v>
      </c>
      <c r="B116">
        <v>913</v>
      </c>
    </row>
    <row r="117" spans="1:2" x14ac:dyDescent="0.3">
      <c r="A117" s="3" t="s">
        <v>153</v>
      </c>
      <c r="B117">
        <v>627</v>
      </c>
    </row>
    <row r="118" spans="1:2" x14ac:dyDescent="0.3">
      <c r="A118" s="3" t="s">
        <v>170</v>
      </c>
      <c r="B118">
        <v>46099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C301-6692-4F9B-8139-04AB3E2F41F8}">
  <dimension ref="A2:L11"/>
  <sheetViews>
    <sheetView showGridLines="0" zoomScale="93" workbookViewId="0">
      <selection activeCell="B4" sqref="B4"/>
    </sheetView>
  </sheetViews>
  <sheetFormatPr defaultRowHeight="14.4" x14ac:dyDescent="0.3"/>
  <cols>
    <col min="1" max="1" width="18.44140625" bestFit="1" customWidth="1"/>
    <col min="2" max="2" width="22.33203125" bestFit="1" customWidth="1"/>
    <col min="3" max="3" width="9.77734375" bestFit="1" customWidth="1"/>
    <col min="4" max="4" width="14.21875" bestFit="1" customWidth="1"/>
    <col min="5" max="5" width="11.77734375" bestFit="1" customWidth="1"/>
    <col min="6" max="6" width="14.88671875" bestFit="1" customWidth="1"/>
    <col min="8" max="8" width="12.109375" customWidth="1"/>
  </cols>
  <sheetData>
    <row r="2" spans="1:12" x14ac:dyDescent="0.3">
      <c r="H2" t="s">
        <v>173</v>
      </c>
    </row>
    <row r="3" spans="1:12" ht="15" thickBot="1" x14ac:dyDescent="0.35">
      <c r="A3" s="2" t="s">
        <v>172</v>
      </c>
      <c r="B3" s="2" t="s">
        <v>171</v>
      </c>
    </row>
    <row r="4" spans="1:12" ht="12.6" customHeight="1" x14ac:dyDescent="0.3">
      <c r="A4" s="2" t="s">
        <v>169</v>
      </c>
      <c r="B4" t="s">
        <v>35</v>
      </c>
      <c r="C4" t="s">
        <v>55</v>
      </c>
      <c r="D4" t="s">
        <v>26</v>
      </c>
      <c r="E4" t="s">
        <v>38</v>
      </c>
      <c r="F4" t="s">
        <v>170</v>
      </c>
      <c r="H4" s="11"/>
      <c r="I4" s="12" t="str">
        <f>B4</f>
        <v>Female</v>
      </c>
      <c r="J4" s="12" t="str">
        <f t="shared" ref="J4:L5" si="0">C4</f>
        <v>Male</v>
      </c>
      <c r="K4" s="12" t="str">
        <f>D4</f>
        <v>Non-binary</v>
      </c>
      <c r="L4" s="13" t="str">
        <f t="shared" si="0"/>
        <v>Unknown</v>
      </c>
    </row>
    <row r="5" spans="1:12" ht="18" customHeight="1" x14ac:dyDescent="0.3">
      <c r="A5" s="3" t="s">
        <v>57</v>
      </c>
      <c r="B5" s="5">
        <v>9.9640196942323206E-2</v>
      </c>
      <c r="C5" s="5">
        <v>5.4374088123686985E-2</v>
      </c>
      <c r="D5" s="5">
        <v>5.9707364927454619E-2</v>
      </c>
      <c r="E5" s="5">
        <v>8.7797412551941595E-2</v>
      </c>
      <c r="F5" s="5">
        <v>0.30151906254540634</v>
      </c>
      <c r="H5" s="14" t="str">
        <f>A5</f>
        <v>cosmetics</v>
      </c>
      <c r="I5" s="6">
        <f t="shared" ref="I5:L7" si="1">B5</f>
        <v>9.9640196942323206E-2</v>
      </c>
      <c r="J5" s="6">
        <f t="shared" si="0"/>
        <v>5.4374088123686985E-2</v>
      </c>
      <c r="K5" s="6">
        <f t="shared" si="0"/>
        <v>5.9707364927454619E-2</v>
      </c>
      <c r="L5" s="15">
        <f t="shared" si="1"/>
        <v>8.7797412551941595E-2</v>
      </c>
    </row>
    <row r="6" spans="1:12" ht="18" customHeight="1" x14ac:dyDescent="0.3">
      <c r="A6" s="3" t="s">
        <v>24</v>
      </c>
      <c r="B6" s="5">
        <v>1.0327944030459547E-2</v>
      </c>
      <c r="C6" s="5">
        <v>8.9490969705656051E-2</v>
      </c>
      <c r="D6" s="5">
        <v>6.0805874145902425E-2</v>
      </c>
      <c r="E6" s="5">
        <v>0.15567275154006766</v>
      </c>
      <c r="F6" s="5">
        <v>0.31629753942208566</v>
      </c>
      <c r="H6" s="16" t="str">
        <f t="shared" ref="H6:H7" si="2">A6</f>
        <v>haircare</v>
      </c>
      <c r="I6" s="6">
        <f t="shared" si="1"/>
        <v>1.0327944030459547E-2</v>
      </c>
      <c r="J6" s="6">
        <f t="shared" si="1"/>
        <v>8.9490969705656051E-2</v>
      </c>
      <c r="K6" s="6">
        <f t="shared" si="1"/>
        <v>6.0805874145902425E-2</v>
      </c>
      <c r="L6" s="15">
        <f t="shared" si="1"/>
        <v>0.15567275154006766</v>
      </c>
    </row>
    <row r="7" spans="1:12" ht="19.2" customHeight="1" thickBot="1" x14ac:dyDescent="0.35">
      <c r="A7" s="3" t="s">
        <v>33</v>
      </c>
      <c r="B7" s="5">
        <v>0.1099827923531357</v>
      </c>
      <c r="C7" s="5">
        <v>6.6488659024866434E-2</v>
      </c>
      <c r="D7" s="5">
        <v>9.5714375282546366E-2</v>
      </c>
      <c r="E7" s="5">
        <v>0.10999757137195955</v>
      </c>
      <c r="F7" s="5">
        <v>0.38218339803250806</v>
      </c>
      <c r="H7" s="17" t="str">
        <f t="shared" si="2"/>
        <v>skincare</v>
      </c>
      <c r="I7" s="18">
        <f t="shared" si="1"/>
        <v>0.1099827923531357</v>
      </c>
      <c r="J7" s="18">
        <f t="shared" si="1"/>
        <v>6.6488659024866434E-2</v>
      </c>
      <c r="K7" s="18">
        <f t="shared" si="1"/>
        <v>9.5714375282546366E-2</v>
      </c>
      <c r="L7" s="19">
        <f t="shared" si="1"/>
        <v>0.10999757137195955</v>
      </c>
    </row>
    <row r="8" spans="1:12" x14ac:dyDescent="0.3">
      <c r="A8" s="3" t="s">
        <v>170</v>
      </c>
      <c r="B8" s="5">
        <v>0.21995093332591842</v>
      </c>
      <c r="C8" s="5">
        <v>0.21035371685420948</v>
      </c>
      <c r="D8" s="5">
        <v>0.2162276143559034</v>
      </c>
      <c r="E8" s="5">
        <v>0.35346773546396881</v>
      </c>
      <c r="F8" s="5">
        <v>1</v>
      </c>
    </row>
    <row r="10" spans="1:12" x14ac:dyDescent="0.3">
      <c r="F10" s="7"/>
      <c r="G10" s="8"/>
    </row>
    <row r="11" spans="1:12" x14ac:dyDescent="0.3">
      <c r="F11" s="9"/>
      <c r="G11" s="10"/>
    </row>
  </sheetData>
  <conditionalFormatting sqref="I5:L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0ACB-6629-416F-90E1-239A3851EFAE}">
  <dimension ref="A3:B7"/>
  <sheetViews>
    <sheetView zoomScale="77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9.6640625" bestFit="1" customWidth="1"/>
    <col min="3" max="10" width="2" bestFit="1" customWidth="1"/>
    <col min="11" max="11" width="3" bestFit="1" customWidth="1"/>
    <col min="12" max="12" width="10.5546875" bestFit="1" customWidth="1"/>
  </cols>
  <sheetData>
    <row r="3" spans="1:2" x14ac:dyDescent="0.3">
      <c r="A3" s="2" t="s">
        <v>169</v>
      </c>
      <c r="B3" t="s">
        <v>174</v>
      </c>
    </row>
    <row r="4" spans="1:2" x14ac:dyDescent="0.3">
      <c r="A4" s="3" t="s">
        <v>46</v>
      </c>
      <c r="B4">
        <v>214</v>
      </c>
    </row>
    <row r="5" spans="1:2" x14ac:dyDescent="0.3">
      <c r="A5" s="3" t="s">
        <v>64</v>
      </c>
      <c r="B5">
        <v>140</v>
      </c>
    </row>
    <row r="6" spans="1:2" x14ac:dyDescent="0.3">
      <c r="A6" s="3" t="s">
        <v>30</v>
      </c>
      <c r="B6">
        <v>221</v>
      </c>
    </row>
    <row r="7" spans="1:2" x14ac:dyDescent="0.3">
      <c r="A7" s="3" t="s">
        <v>170</v>
      </c>
      <c r="B7">
        <v>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2043-A2EA-46FA-9E5B-A96E4A16030B}">
  <dimension ref="A1:AA101"/>
  <sheetViews>
    <sheetView workbookViewId="0">
      <selection activeCell="D19" sqref="D19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158</v>
      </c>
      <c r="Z1" t="s">
        <v>159</v>
      </c>
      <c r="AA1" t="s">
        <v>160</v>
      </c>
    </row>
    <row r="2" spans="1:27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  <c r="Y2">
        <f>F2 - S2 - M2</f>
        <v>8612.7603410124411</v>
      </c>
      <c r="Z2">
        <f>AVERAGE(I2:I101)</f>
        <v>15.96</v>
      </c>
      <c r="AA2">
        <f>AVERAGE(U2:U101)</f>
        <v>2.2771579927396073</v>
      </c>
    </row>
    <row r="3" spans="1:27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  <c r="Y3">
        <f t="shared" ref="Y3:Y66" si="0">F3 - S3 - M3</f>
        <v>7417.5667217206783</v>
      </c>
      <c r="Z3">
        <f t="shared" ref="Z3:Z66" si="1">AVERAGE(I3:I102)</f>
        <v>16.050505050505052</v>
      </c>
      <c r="AA3">
        <f t="shared" ref="AA3:AA66" si="2">AVERAGE(U3:U102)</f>
        <v>2.2978726152839473</v>
      </c>
    </row>
    <row r="4" spans="1:27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  <c r="Y4">
        <f t="shared" si="0"/>
        <v>9539.007127258712</v>
      </c>
      <c r="Z4">
        <f t="shared" si="1"/>
        <v>15.908163265306122</v>
      </c>
      <c r="AA4">
        <f t="shared" si="2"/>
        <v>2.2717889886400213</v>
      </c>
    </row>
    <row r="5" spans="1:27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  <c r="Y5">
        <f t="shared" si="0"/>
        <v>7729.4821157245615</v>
      </c>
      <c r="Z5">
        <f t="shared" si="1"/>
        <v>15.969072164948454</v>
      </c>
      <c r="AA5">
        <f t="shared" si="2"/>
        <v>2.2479868893559063</v>
      </c>
    </row>
    <row r="6" spans="1:27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  <c r="Y6">
        <f t="shared" si="0"/>
        <v>2590.5494430528565</v>
      </c>
      <c r="Z6">
        <f t="shared" si="1"/>
        <v>16</v>
      </c>
      <c r="AA6">
        <f t="shared" si="2"/>
        <v>2.2219591629882829</v>
      </c>
    </row>
    <row r="7" spans="1:27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  <c r="Y7">
        <f t="shared" si="0"/>
        <v>2767.1381715539355</v>
      </c>
      <c r="Z7">
        <f t="shared" si="1"/>
        <v>16.13684210526316</v>
      </c>
      <c r="AA7">
        <f t="shared" si="2"/>
        <v>2.2122368434109694</v>
      </c>
    </row>
    <row r="8" spans="1:27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  <c r="Y8">
        <f t="shared" si="0"/>
        <v>7818.5107276591916</v>
      </c>
      <c r="Z8">
        <f t="shared" si="1"/>
        <v>16.021276595744681</v>
      </c>
      <c r="AA8">
        <f t="shared" si="2"/>
        <v>2.2062053894943716</v>
      </c>
    </row>
    <row r="9" spans="1:27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  <c r="Y9">
        <f t="shared" si="0"/>
        <v>8394.2893657018139</v>
      </c>
      <c r="Z9">
        <f t="shared" si="1"/>
        <v>16.032258064516128</v>
      </c>
      <c r="AA9">
        <f t="shared" si="2"/>
        <v>2.2191655483136214</v>
      </c>
    </row>
    <row r="10" spans="1:27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  <c r="Y10">
        <f t="shared" si="0"/>
        <v>7502.5354496344717</v>
      </c>
      <c r="Z10">
        <f t="shared" si="1"/>
        <v>16.021739130434781</v>
      </c>
      <c r="AA10">
        <f t="shared" si="2"/>
        <v>2.2389589000686541</v>
      </c>
    </row>
    <row r="11" spans="1:27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  <c r="Y11">
        <f t="shared" si="0"/>
        <v>4916.0217406595502</v>
      </c>
      <c r="Z11">
        <f t="shared" si="1"/>
        <v>16.087912087912088</v>
      </c>
      <c r="AA11">
        <f t="shared" si="2"/>
        <v>2.2337841331341339</v>
      </c>
    </row>
    <row r="12" spans="1:27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  <c r="Y12">
        <f t="shared" si="0"/>
        <v>2225.7652380953505</v>
      </c>
      <c r="Z12">
        <f t="shared" si="1"/>
        <v>15.966666666666667</v>
      </c>
      <c r="AA12">
        <f t="shared" si="2"/>
        <v>2.2158860181826512</v>
      </c>
    </row>
    <row r="13" spans="1:27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  <c r="Y13">
        <f t="shared" si="0"/>
        <v>6067.8278093704703</v>
      </c>
      <c r="Z13">
        <f t="shared" si="1"/>
        <v>16</v>
      </c>
      <c r="AA13">
        <f t="shared" si="2"/>
        <v>2.2213755922256477</v>
      </c>
    </row>
    <row r="14" spans="1:27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  <c r="Y14">
        <f t="shared" si="0"/>
        <v>2840.0948857978315</v>
      </c>
      <c r="Z14">
        <f t="shared" si="1"/>
        <v>15.920454545454545</v>
      </c>
      <c r="AA14">
        <f t="shared" si="2"/>
        <v>2.2463779305307918</v>
      </c>
    </row>
    <row r="15" spans="1:27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  <c r="Y15">
        <f t="shared" si="0"/>
        <v>3945.3720830665784</v>
      </c>
      <c r="Z15">
        <f t="shared" si="1"/>
        <v>15.758620689655173</v>
      </c>
      <c r="AA15">
        <f t="shared" si="2"/>
        <v>2.2473563694155607</v>
      </c>
    </row>
    <row r="16" spans="1:27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  <c r="Y16">
        <f t="shared" si="0"/>
        <v>8645.739719650488</v>
      </c>
      <c r="Z16">
        <f t="shared" si="1"/>
        <v>15.848837209302326</v>
      </c>
      <c r="AA16">
        <f t="shared" si="2"/>
        <v>2.254522440803282</v>
      </c>
    </row>
    <row r="17" spans="1:27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  <c r="Y17">
        <f t="shared" si="0"/>
        <v>5342.5434639229206</v>
      </c>
      <c r="Z17">
        <f t="shared" si="1"/>
        <v>15.694117647058823</v>
      </c>
      <c r="AA17">
        <f t="shared" si="2"/>
        <v>2.2798617300884376</v>
      </c>
    </row>
    <row r="18" spans="1:27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  <c r="Y18">
        <f t="shared" si="0"/>
        <v>6372.5003010927239</v>
      </c>
      <c r="Z18">
        <f t="shared" si="1"/>
        <v>15.785714285714286</v>
      </c>
      <c r="AA18">
        <f t="shared" si="2"/>
        <v>2.2800457297180792</v>
      </c>
    </row>
    <row r="19" spans="1:27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  <c r="Y19">
        <f t="shared" si="0"/>
        <v>2578.1313355186726</v>
      </c>
      <c r="Z19">
        <f t="shared" si="1"/>
        <v>15.91566265060241</v>
      </c>
      <c r="AA19">
        <f t="shared" si="2"/>
        <v>2.2953166049043445</v>
      </c>
    </row>
    <row r="20" spans="1:27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  <c r="Y20">
        <f t="shared" si="0"/>
        <v>9333.226299507216</v>
      </c>
      <c r="Z20">
        <f t="shared" si="1"/>
        <v>15.902439024390244</v>
      </c>
      <c r="AA20">
        <f t="shared" si="2"/>
        <v>2.3220641152700292</v>
      </c>
    </row>
    <row r="21" spans="1:27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  <c r="Y21">
        <f t="shared" si="0"/>
        <v>2466.3796285203775</v>
      </c>
      <c r="Z21">
        <f t="shared" si="1"/>
        <v>15.975308641975309</v>
      </c>
      <c r="AA21">
        <f t="shared" si="2"/>
        <v>2.323176769647076</v>
      </c>
    </row>
    <row r="22" spans="1:27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  <c r="Y22">
        <f t="shared" si="0"/>
        <v>8053.4631025917743</v>
      </c>
      <c r="Z22">
        <f t="shared" si="1"/>
        <v>16.037500000000001</v>
      </c>
      <c r="AA22">
        <f t="shared" si="2"/>
        <v>2.3066358434499521</v>
      </c>
    </row>
    <row r="23" spans="1:27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  <c r="Y23">
        <f t="shared" si="0"/>
        <v>7019.2790836340519</v>
      </c>
      <c r="Z23">
        <f t="shared" si="1"/>
        <v>16.088607594936708</v>
      </c>
      <c r="AA23">
        <f t="shared" si="2"/>
        <v>2.2822715304109065</v>
      </c>
    </row>
    <row r="24" spans="1:27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  <c r="Y24">
        <f t="shared" si="0"/>
        <v>2331.1193780222698</v>
      </c>
      <c r="Z24">
        <f t="shared" si="1"/>
        <v>15.974358974358974</v>
      </c>
      <c r="AA24">
        <f t="shared" si="2"/>
        <v>2.3112928632670591</v>
      </c>
    </row>
    <row r="25" spans="1:27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  <c r="Y25">
        <f t="shared" si="0"/>
        <v>8756.8327561676306</v>
      </c>
      <c r="Z25">
        <f t="shared" si="1"/>
        <v>16.168831168831169</v>
      </c>
      <c r="AA25">
        <f t="shared" si="2"/>
        <v>2.307656725475578</v>
      </c>
    </row>
    <row r="26" spans="1:27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  <c r="Y26">
        <f t="shared" si="0"/>
        <v>8998.9542095476809</v>
      </c>
      <c r="Z26">
        <f t="shared" si="1"/>
        <v>16.315789473684209</v>
      </c>
      <c r="AA26">
        <f t="shared" si="2"/>
        <v>2.3203588986696944</v>
      </c>
    </row>
    <row r="27" spans="1:27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  <c r="Y27">
        <f t="shared" si="0"/>
        <v>2094.2655975509529</v>
      </c>
      <c r="Z27">
        <f t="shared" si="1"/>
        <v>16.186666666666667</v>
      </c>
      <c r="AA27">
        <f t="shared" si="2"/>
        <v>2.3020795467502406</v>
      </c>
    </row>
    <row r="28" spans="1:27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  <c r="Y28">
        <f t="shared" si="0"/>
        <v>3694.0135475157699</v>
      </c>
      <c r="Z28">
        <f t="shared" si="1"/>
        <v>16.256756756756758</v>
      </c>
      <c r="AA28">
        <f t="shared" si="2"/>
        <v>2.2818747944480249</v>
      </c>
    </row>
    <row r="29" spans="1:27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  <c r="Y29">
        <f t="shared" si="0"/>
        <v>2668.52222755294</v>
      </c>
      <c r="Z29">
        <f t="shared" si="1"/>
        <v>16.260273972602739</v>
      </c>
      <c r="AA29">
        <f t="shared" si="2"/>
        <v>2.2841015760606704</v>
      </c>
    </row>
    <row r="30" spans="1:27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  <c r="Y30">
        <f t="shared" si="0"/>
        <v>6047.9970927652284</v>
      </c>
      <c r="Z30">
        <f t="shared" si="1"/>
        <v>16.361111111111111</v>
      </c>
      <c r="AA30">
        <f t="shared" si="2"/>
        <v>2.2760381557575773</v>
      </c>
    </row>
    <row r="31" spans="1:27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  <c r="Y31">
        <f t="shared" si="0"/>
        <v>8271.5093458857082</v>
      </c>
      <c r="Z31">
        <f t="shared" si="1"/>
        <v>16.380281690140844</v>
      </c>
      <c r="AA31">
        <f t="shared" si="2"/>
        <v>2.2966054948626748</v>
      </c>
    </row>
    <row r="32" spans="1:27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  <c r="Y32">
        <f t="shared" si="0"/>
        <v>2705.7529451506525</v>
      </c>
      <c r="Z32">
        <f t="shared" si="1"/>
        <v>16.542857142857144</v>
      </c>
      <c r="AA32">
        <f t="shared" si="2"/>
        <v>2.2740127314094485</v>
      </c>
    </row>
    <row r="33" spans="1:27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  <c r="Y33">
        <f t="shared" si="0"/>
        <v>9592.204296092812</v>
      </c>
      <c r="Z33">
        <f t="shared" si="1"/>
        <v>16.405797101449274</v>
      </c>
      <c r="AA33">
        <f t="shared" si="2"/>
        <v>2.2929782100479565</v>
      </c>
    </row>
    <row r="34" spans="1:27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  <c r="Y34">
        <f t="shared" si="0"/>
        <v>9535.2589152728215</v>
      </c>
      <c r="Z34">
        <f t="shared" si="1"/>
        <v>16.397058823529413</v>
      </c>
      <c r="AA34">
        <f t="shared" si="2"/>
        <v>2.2827425953919693</v>
      </c>
    </row>
    <row r="35" spans="1:27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  <c r="Y35">
        <f t="shared" si="0"/>
        <v>5121.2866523916973</v>
      </c>
      <c r="Z35">
        <f t="shared" si="1"/>
        <v>16.447761194029852</v>
      </c>
      <c r="AA35">
        <f t="shared" si="2"/>
        <v>2.2877680651831014</v>
      </c>
    </row>
    <row r="36" spans="1:27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  <c r="Y36">
        <f t="shared" si="0"/>
        <v>9049.9371351218688</v>
      </c>
      <c r="Z36">
        <f t="shared" si="1"/>
        <v>16.439393939393938</v>
      </c>
      <c r="AA36">
        <f t="shared" si="2"/>
        <v>2.2687790053790433</v>
      </c>
    </row>
    <row r="37" spans="1:27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  <c r="Y37">
        <f t="shared" si="0"/>
        <v>6478.0363677673886</v>
      </c>
      <c r="Z37">
        <f t="shared" si="1"/>
        <v>16.292307692307691</v>
      </c>
      <c r="AA37">
        <f t="shared" si="2"/>
        <v>2.2937355353176123</v>
      </c>
    </row>
    <row r="38" spans="1:27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  <c r="Y38">
        <f t="shared" si="0"/>
        <v>7525.7631423444082</v>
      </c>
      <c r="Z38">
        <f t="shared" si="1"/>
        <v>16.125</v>
      </c>
      <c r="AA38">
        <f t="shared" si="2"/>
        <v>2.3211196202747537</v>
      </c>
    </row>
    <row r="39" spans="1:27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  <c r="Y39">
        <f t="shared" si="0"/>
        <v>2402.4639977313541</v>
      </c>
      <c r="Z39">
        <f t="shared" si="1"/>
        <v>16.015873015873016</v>
      </c>
      <c r="AA39">
        <f t="shared" si="2"/>
        <v>2.2975574971165216</v>
      </c>
    </row>
    <row r="40" spans="1:27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  <c r="Y40">
        <f t="shared" si="0"/>
        <v>9677.1514151356514</v>
      </c>
      <c r="Z40">
        <f t="shared" si="1"/>
        <v>16.14516129032258</v>
      </c>
      <c r="AA40">
        <f t="shared" si="2"/>
        <v>2.292513455378915</v>
      </c>
    </row>
    <row r="41" spans="1:27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  <c r="Y41">
        <f t="shared" si="0"/>
        <v>1897.8973518931477</v>
      </c>
      <c r="Z41">
        <f t="shared" si="1"/>
        <v>16.393442622950818</v>
      </c>
      <c r="AA41">
        <f t="shared" si="2"/>
        <v>2.3200411038414468</v>
      </c>
    </row>
    <row r="42" spans="1:27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  <c r="Y42">
        <f t="shared" si="0"/>
        <v>5629.5503482123058</v>
      </c>
      <c r="Z42">
        <f t="shared" si="1"/>
        <v>16.183333333333334</v>
      </c>
      <c r="AA42">
        <f t="shared" si="2"/>
        <v>2.334508918838857</v>
      </c>
    </row>
    <row r="43" spans="1:27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  <c r="Y43">
        <f t="shared" si="0"/>
        <v>5420.0999307184302</v>
      </c>
      <c r="Z43">
        <f t="shared" si="1"/>
        <v>16.118644067796609</v>
      </c>
      <c r="AA43">
        <f t="shared" si="2"/>
        <v>2.3026655203346587</v>
      </c>
    </row>
    <row r="44" spans="1:27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  <c r="Y44">
        <f t="shared" si="0"/>
        <v>1735.6603568903365</v>
      </c>
      <c r="Z44">
        <f t="shared" si="1"/>
        <v>16.068965517241381</v>
      </c>
      <c r="AA44">
        <f t="shared" si="2"/>
        <v>2.3415855765059757</v>
      </c>
    </row>
    <row r="45" spans="1:27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  <c r="Y45">
        <f t="shared" si="0"/>
        <v>5707.4542118932995</v>
      </c>
      <c r="Z45">
        <f t="shared" si="1"/>
        <v>15.87719298245614</v>
      </c>
      <c r="AA45">
        <f t="shared" si="2"/>
        <v>2.2960124236618533</v>
      </c>
    </row>
    <row r="46" spans="1:27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  <c r="Y46">
        <f t="shared" si="0"/>
        <v>7122.1544931572453</v>
      </c>
      <c r="Z46">
        <f t="shared" si="1"/>
        <v>15.642857142857142</v>
      </c>
      <c r="AA46">
        <f t="shared" si="2"/>
        <v>2.3303643460846524</v>
      </c>
    </row>
    <row r="47" spans="1:27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  <c r="Y47">
        <f t="shared" si="0"/>
        <v>5196.4291080618159</v>
      </c>
      <c r="Z47">
        <f t="shared" si="1"/>
        <v>15.581818181818182</v>
      </c>
      <c r="AA47">
        <f t="shared" si="2"/>
        <v>2.3188686738233755</v>
      </c>
    </row>
    <row r="48" spans="1:27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  <c r="Y48">
        <f t="shared" si="0"/>
        <v>2475.3740515854547</v>
      </c>
      <c r="Z48">
        <f t="shared" si="1"/>
        <v>15.74074074074074</v>
      </c>
      <c r="AA48">
        <f t="shared" si="2"/>
        <v>2.3021883786703987</v>
      </c>
    </row>
    <row r="49" spans="1:27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  <c r="Y49">
        <f t="shared" si="0"/>
        <v>7060.7825062669363</v>
      </c>
      <c r="Z49">
        <f t="shared" si="1"/>
        <v>15.490566037735849</v>
      </c>
      <c r="AA49">
        <f t="shared" si="2"/>
        <v>2.2767841859559494</v>
      </c>
    </row>
    <row r="50" spans="1:27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  <c r="Y50">
        <f t="shared" si="0"/>
        <v>7366.8488078481605</v>
      </c>
      <c r="Z50">
        <f t="shared" si="1"/>
        <v>15.5</v>
      </c>
      <c r="AA50">
        <f t="shared" si="2"/>
        <v>2.3132497744029252</v>
      </c>
    </row>
    <row r="51" spans="1:27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  <c r="Y51">
        <f t="shared" si="0"/>
        <v>7984.95977004212</v>
      </c>
      <c r="Z51">
        <f t="shared" si="1"/>
        <v>15.490196078431373</v>
      </c>
      <c r="AA51">
        <f t="shared" si="2"/>
        <v>2.3253112887889751</v>
      </c>
    </row>
    <row r="52" spans="1:27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  <c r="Y52">
        <f t="shared" si="0"/>
        <v>5859.4587708292793</v>
      </c>
      <c r="Z52">
        <f t="shared" si="1"/>
        <v>15.32</v>
      </c>
      <c r="AA52">
        <f t="shared" si="2"/>
        <v>2.3153012348567517</v>
      </c>
    </row>
    <row r="53" spans="1:27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  <c r="Y53">
        <f t="shared" si="0"/>
        <v>9847.4921290771726</v>
      </c>
      <c r="Z53">
        <f t="shared" si="1"/>
        <v>15.163265306122449</v>
      </c>
      <c r="AA53">
        <f t="shared" si="2"/>
        <v>2.2655155293503348</v>
      </c>
    </row>
    <row r="54" spans="1:27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  <c r="Y54">
        <f t="shared" si="0"/>
        <v>9417.964707583762</v>
      </c>
      <c r="Z54">
        <f t="shared" si="1"/>
        <v>15.395833333333334</v>
      </c>
      <c r="AA54">
        <f t="shared" si="2"/>
        <v>2.2757772867933932</v>
      </c>
    </row>
    <row r="55" spans="1:27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  <c r="Y55">
        <f t="shared" si="0"/>
        <v>8147.9772838680456</v>
      </c>
      <c r="Z55">
        <f t="shared" si="1"/>
        <v>15.48936170212766</v>
      </c>
      <c r="AA55">
        <f t="shared" si="2"/>
        <v>2.2790391095093416</v>
      </c>
    </row>
    <row r="56" spans="1:27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  <c r="Y56">
        <f t="shared" si="0"/>
        <v>6053.5303530937399</v>
      </c>
      <c r="Z56">
        <f t="shared" si="1"/>
        <v>15.282608695652174</v>
      </c>
      <c r="AA56">
        <f t="shared" si="2"/>
        <v>2.2979237080622399</v>
      </c>
    </row>
    <row r="57" spans="1:27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  <c r="Y57">
        <f t="shared" si="0"/>
        <v>2890.3372600921625</v>
      </c>
      <c r="Z57">
        <f t="shared" si="1"/>
        <v>15.133333333333333</v>
      </c>
      <c r="AA57">
        <f t="shared" si="2"/>
        <v>2.293904857673851</v>
      </c>
    </row>
    <row r="58" spans="1:27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  <c r="Y58">
        <f t="shared" si="0"/>
        <v>4752.4097700572256</v>
      </c>
      <c r="Z58">
        <f t="shared" si="1"/>
        <v>15.227272727272727</v>
      </c>
      <c r="AA58">
        <f t="shared" si="2"/>
        <v>2.2426545212710667</v>
      </c>
    </row>
    <row r="59" spans="1:27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  <c r="Y59">
        <f t="shared" si="0"/>
        <v>1528.9267188699403</v>
      </c>
      <c r="Z59">
        <f t="shared" si="1"/>
        <v>15.046511627906977</v>
      </c>
      <c r="AA59">
        <f t="shared" si="2"/>
        <v>2.2675126381520809</v>
      </c>
    </row>
    <row r="60" spans="1:27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  <c r="Y60">
        <f t="shared" si="0"/>
        <v>1951.1639566776967</v>
      </c>
      <c r="Z60">
        <f t="shared" si="1"/>
        <v>14.976190476190476</v>
      </c>
      <c r="AA60">
        <f t="shared" si="2"/>
        <v>2.2617111573887327</v>
      </c>
    </row>
    <row r="61" spans="1:27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  <c r="Y61">
        <f t="shared" si="0"/>
        <v>1052.424038172893</v>
      </c>
      <c r="Z61">
        <f t="shared" si="1"/>
        <v>15.219512195121951</v>
      </c>
      <c r="AA61">
        <f t="shared" si="2"/>
        <v>2.274670582694331</v>
      </c>
    </row>
    <row r="62" spans="1:27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  <c r="Y62">
        <f t="shared" si="0"/>
        <v>8772.4899236131914</v>
      </c>
      <c r="Z62">
        <f t="shared" si="1"/>
        <v>15.2</v>
      </c>
      <c r="AA62">
        <f t="shared" si="2"/>
        <v>2.320357496875094</v>
      </c>
    </row>
    <row r="63" spans="1:27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  <c r="Y63">
        <f t="shared" si="0"/>
        <v>6797.8566165048487</v>
      </c>
      <c r="Z63">
        <f t="shared" si="1"/>
        <v>14.897435897435898</v>
      </c>
      <c r="AA63">
        <f t="shared" si="2"/>
        <v>2.3066976732911471</v>
      </c>
    </row>
    <row r="64" spans="1:27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  <c r="Y64">
        <f t="shared" si="0"/>
        <v>3871.4064896152745</v>
      </c>
      <c r="Z64">
        <f t="shared" si="1"/>
        <v>14.684210526315789</v>
      </c>
      <c r="AA64">
        <f t="shared" si="2"/>
        <v>2.2524668084249915</v>
      </c>
    </row>
    <row r="65" spans="1:27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  <c r="Y65">
        <f t="shared" si="0"/>
        <v>4234.4162033466018</v>
      </c>
      <c r="Z65">
        <f t="shared" si="1"/>
        <v>15.027027027027026</v>
      </c>
      <c r="AA65">
        <f t="shared" si="2"/>
        <v>2.2626956031379808</v>
      </c>
    </row>
    <row r="66" spans="1:27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  <c r="Y66">
        <f t="shared" si="0"/>
        <v>8445.4524824730979</v>
      </c>
      <c r="Z66">
        <f t="shared" si="1"/>
        <v>14.916666666666666</v>
      </c>
      <c r="AA66">
        <f t="shared" si="2"/>
        <v>2.224635945158977</v>
      </c>
    </row>
    <row r="67" spans="1:27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  <c r="Y67">
        <f t="shared" ref="Y67:Y101" si="3">F67 - S67 - M67</f>
        <v>8346.4019223910545</v>
      </c>
      <c r="Z67">
        <f t="shared" ref="Z67:Z101" si="4">AVERAGE(I67:I166)</f>
        <v>14.571428571428571</v>
      </c>
      <c r="AA67">
        <f t="shared" ref="AA67:AA101" si="5">AVERAGE(U67:U166)</f>
        <v>2.2836402203144472</v>
      </c>
    </row>
    <row r="68" spans="1:27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  <c r="Y68">
        <f t="shared" si="3"/>
        <v>8323.4210385530678</v>
      </c>
      <c r="Z68">
        <f t="shared" si="4"/>
        <v>14.294117647058824</v>
      </c>
      <c r="AA68">
        <f t="shared" si="5"/>
        <v>2.2063621104753923</v>
      </c>
    </row>
    <row r="69" spans="1:27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  <c r="Y69">
        <f t="shared" si="3"/>
        <v>9457.5923448166413</v>
      </c>
      <c r="Z69">
        <f t="shared" si="4"/>
        <v>14.212121212121213</v>
      </c>
      <c r="AA69">
        <f t="shared" si="5"/>
        <v>2.1687348020552446</v>
      </c>
    </row>
    <row r="70" spans="1:27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  <c r="Y70">
        <f t="shared" si="3"/>
        <v>3451.9105993526432</v>
      </c>
      <c r="Z70">
        <f t="shared" si="4"/>
        <v>14.375</v>
      </c>
      <c r="AA70">
        <f t="shared" si="5"/>
        <v>2.2323841569847267</v>
      </c>
    </row>
    <row r="71" spans="1:27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  <c r="Y71">
        <f t="shared" si="3"/>
        <v>1665.0480348812516</v>
      </c>
      <c r="Z71">
        <f t="shared" si="4"/>
        <v>14.580645161290322</v>
      </c>
      <c r="AA71">
        <f t="shared" si="5"/>
        <v>2.2404137145592609</v>
      </c>
    </row>
    <row r="72" spans="1:27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  <c r="Y72">
        <f t="shared" si="3"/>
        <v>6997.1314876250181</v>
      </c>
      <c r="Z72">
        <f t="shared" si="4"/>
        <v>15.033333333333333</v>
      </c>
      <c r="AA72">
        <f t="shared" si="5"/>
        <v>2.2696812387562657</v>
      </c>
    </row>
    <row r="73" spans="1:27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  <c r="Y73">
        <f t="shared" si="3"/>
        <v>8140.447217630528</v>
      </c>
      <c r="Z73">
        <f t="shared" si="4"/>
        <v>15.137931034482758</v>
      </c>
      <c r="AA73">
        <f t="shared" si="5"/>
        <v>2.2848228125543359</v>
      </c>
    </row>
    <row r="74" spans="1:27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  <c r="Y74">
        <f t="shared" si="3"/>
        <v>2570.7618742573159</v>
      </c>
      <c r="Z74">
        <f t="shared" si="4"/>
        <v>15.607142857142858</v>
      </c>
      <c r="AA74">
        <f t="shared" si="5"/>
        <v>2.2921825341500286</v>
      </c>
    </row>
    <row r="75" spans="1:27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  <c r="Y75">
        <f t="shared" si="3"/>
        <v>7862.5037405061466</v>
      </c>
      <c r="Z75">
        <f t="shared" si="4"/>
        <v>15.111111111111111</v>
      </c>
      <c r="AA75">
        <f t="shared" si="5"/>
        <v>2.2580659758800916</v>
      </c>
    </row>
    <row r="76" spans="1:27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  <c r="Y76">
        <f t="shared" si="3"/>
        <v>5624.1267891627949</v>
      </c>
      <c r="Z76">
        <f t="shared" si="4"/>
        <v>14.73076923076923</v>
      </c>
      <c r="AA76">
        <f t="shared" si="5"/>
        <v>2.1672013570864914</v>
      </c>
    </row>
    <row r="77" spans="1:27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  <c r="Y77">
        <f t="shared" si="3"/>
        <v>1838.5349093782779</v>
      </c>
      <c r="Z77">
        <f t="shared" si="4"/>
        <v>15.08</v>
      </c>
      <c r="AA77">
        <f t="shared" si="5"/>
        <v>2.2380249024055541</v>
      </c>
    </row>
    <row r="78" spans="1:27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  <c r="Y78">
        <f t="shared" si="3"/>
        <v>5256.9978481653125</v>
      </c>
      <c r="Z78">
        <f t="shared" si="4"/>
        <v>14.875</v>
      </c>
      <c r="AA78">
        <f t="shared" si="5"/>
        <v>2.2466897279779205</v>
      </c>
    </row>
    <row r="79" spans="1:27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  <c r="Y79">
        <f t="shared" si="3"/>
        <v>2434.0267861681805</v>
      </c>
      <c r="Z79">
        <f t="shared" si="4"/>
        <v>15.478260869565217</v>
      </c>
      <c r="AA79">
        <f t="shared" si="5"/>
        <v>2.2495876530386032</v>
      </c>
    </row>
    <row r="80" spans="1:27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  <c r="Y80">
        <f t="shared" si="3"/>
        <v>1212.8648534464846</v>
      </c>
      <c r="Z80">
        <f t="shared" si="4"/>
        <v>14.909090909090908</v>
      </c>
      <c r="AA80">
        <f t="shared" si="5"/>
        <v>2.2129715546172886</v>
      </c>
    </row>
    <row r="81" spans="1:27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  <c r="Y81">
        <f t="shared" si="3"/>
        <v>7824.3560401387485</v>
      </c>
      <c r="Z81">
        <f t="shared" si="4"/>
        <v>15.428571428571429</v>
      </c>
      <c r="AA81">
        <f t="shared" si="5"/>
        <v>2.1232615651957092</v>
      </c>
    </row>
    <row r="82" spans="1:27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  <c r="Y82">
        <f t="shared" si="3"/>
        <v>8571.8782702788212</v>
      </c>
      <c r="Z82">
        <f t="shared" si="4"/>
        <v>14.95</v>
      </c>
      <c r="AA82">
        <f t="shared" si="5"/>
        <v>2.2211310620814646</v>
      </c>
    </row>
    <row r="83" spans="1:27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  <c r="Y83">
        <f t="shared" si="3"/>
        <v>4360.5575296024444</v>
      </c>
      <c r="Z83">
        <f t="shared" si="4"/>
        <v>15</v>
      </c>
      <c r="AA83">
        <f t="shared" si="5"/>
        <v>2.1880504759538923</v>
      </c>
    </row>
    <row r="84" spans="1:27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  <c r="Y84">
        <f t="shared" si="3"/>
        <v>2934.2084073009651</v>
      </c>
      <c r="Z84">
        <f t="shared" si="4"/>
        <v>15.5</v>
      </c>
      <c r="AA84">
        <f t="shared" si="5"/>
        <v>2.1680784400875139</v>
      </c>
    </row>
    <row r="85" spans="1:27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  <c r="Y85">
        <f t="shared" si="3"/>
        <v>2309.0741987319602</v>
      </c>
      <c r="Z85">
        <f t="shared" si="4"/>
        <v>15.294117647058824</v>
      </c>
      <c r="AA85">
        <f t="shared" si="5"/>
        <v>2.0522079337031123</v>
      </c>
    </row>
    <row r="86" spans="1:27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  <c r="Y86">
        <f t="shared" si="3"/>
        <v>2006.0998477105782</v>
      </c>
      <c r="Z86">
        <f t="shared" si="4"/>
        <v>14.75</v>
      </c>
      <c r="AA86">
        <f t="shared" si="5"/>
        <v>2.1321580461803533</v>
      </c>
    </row>
    <row r="87" spans="1:27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  <c r="Y87">
        <f t="shared" si="3"/>
        <v>8606.4345450303063</v>
      </c>
      <c r="Z87">
        <f t="shared" si="4"/>
        <v>14</v>
      </c>
      <c r="AA87">
        <f t="shared" si="5"/>
        <v>1.9514048107845074</v>
      </c>
    </row>
    <row r="88" spans="1:27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  <c r="Y88">
        <f t="shared" si="3"/>
        <v>1153.5277532596317</v>
      </c>
      <c r="Z88">
        <f t="shared" si="4"/>
        <v>13.714285714285714</v>
      </c>
      <c r="AA88">
        <f t="shared" si="5"/>
        <v>1.9926173687158475</v>
      </c>
    </row>
    <row r="89" spans="1:27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  <c r="Y89">
        <f t="shared" si="3"/>
        <v>5098.5739004649986</v>
      </c>
      <c r="Z89">
        <f t="shared" si="4"/>
        <v>13.692307692307692</v>
      </c>
      <c r="AA89">
        <f t="shared" si="5"/>
        <v>1.9880869408658175</v>
      </c>
    </row>
    <row r="90" spans="1:27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  <c r="Y90">
        <f t="shared" si="3"/>
        <v>9372.7558608730069</v>
      </c>
      <c r="Z90">
        <f t="shared" si="4"/>
        <v>14.25</v>
      </c>
      <c r="AA90">
        <f t="shared" si="5"/>
        <v>1.8459493702846965</v>
      </c>
    </row>
    <row r="91" spans="1:27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  <c r="Y91">
        <f t="shared" si="3"/>
        <v>5868.1488772263092</v>
      </c>
      <c r="Z91">
        <f t="shared" si="4"/>
        <v>13.909090909090908</v>
      </c>
      <c r="AA91">
        <f t="shared" si="5"/>
        <v>1.9481080037757659</v>
      </c>
    </row>
    <row r="92" spans="1:27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  <c r="Y92">
        <f t="shared" si="3"/>
        <v>9499.2831762363985</v>
      </c>
      <c r="Z92">
        <f t="shared" si="4"/>
        <v>15.2</v>
      </c>
      <c r="AA92">
        <f t="shared" si="5"/>
        <v>1.9521522307574355</v>
      </c>
    </row>
    <row r="93" spans="1:27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  <c r="Y93">
        <f t="shared" si="3"/>
        <v>1887.962396920849</v>
      </c>
      <c r="Z93">
        <f t="shared" si="4"/>
        <v>14.888888888888889</v>
      </c>
      <c r="AA93">
        <f t="shared" si="5"/>
        <v>2.0335711203525531</v>
      </c>
    </row>
    <row r="94" spans="1:27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  <c r="Y94">
        <f t="shared" si="3"/>
        <v>2033.0475642041924</v>
      </c>
      <c r="Z94">
        <f t="shared" si="4"/>
        <v>14</v>
      </c>
      <c r="AA94">
        <f t="shared" si="5"/>
        <v>2.209517278120448</v>
      </c>
    </row>
    <row r="95" spans="1:27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  <c r="Y95">
        <f t="shared" si="3"/>
        <v>4488.7620492895521</v>
      </c>
      <c r="Z95">
        <f t="shared" si="4"/>
        <v>12.428571428571429</v>
      </c>
      <c r="AA95">
        <f t="shared" si="5"/>
        <v>2.4775294856769778</v>
      </c>
    </row>
    <row r="96" spans="1:27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  <c r="Y96">
        <f t="shared" si="3"/>
        <v>7821.0262221049752</v>
      </c>
      <c r="Z96">
        <f t="shared" si="4"/>
        <v>11.666666666666666</v>
      </c>
      <c r="AA96">
        <f t="shared" si="5"/>
        <v>2.196154100719117</v>
      </c>
    </row>
    <row r="97" spans="1:27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  <c r="Y97">
        <f t="shared" si="3"/>
        <v>7318.8429194104683</v>
      </c>
      <c r="Z97">
        <f t="shared" si="4"/>
        <v>8.8000000000000007</v>
      </c>
      <c r="AA97">
        <f t="shared" si="5"/>
        <v>2.3426634211683868</v>
      </c>
    </row>
    <row r="98" spans="1:27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  <c r="Y98">
        <f t="shared" si="3"/>
        <v>7675.2681312567229</v>
      </c>
      <c r="Z98">
        <f t="shared" si="4"/>
        <v>7.5</v>
      </c>
      <c r="AA98">
        <f t="shared" si="5"/>
        <v>2.625608744064218</v>
      </c>
    </row>
    <row r="99" spans="1:27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  <c r="Y99">
        <f t="shared" si="3"/>
        <v>4297.2465784469523</v>
      </c>
      <c r="Z99">
        <f t="shared" si="4"/>
        <v>9.3333333333333339</v>
      </c>
      <c r="AA99">
        <f t="shared" si="5"/>
        <v>2.2101290982582475</v>
      </c>
    </row>
    <row r="100" spans="1:27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  <c r="Y100">
        <f t="shared" si="3"/>
        <v>8518.9380677240097</v>
      </c>
      <c r="Z100">
        <f t="shared" si="4"/>
        <v>4.5</v>
      </c>
      <c r="AA100">
        <f t="shared" si="5"/>
        <v>1.6270747300283814</v>
      </c>
    </row>
    <row r="101" spans="1:27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  <c r="Y101">
        <f t="shared" si="3"/>
        <v>9145.8019069049533</v>
      </c>
      <c r="Z101">
        <f t="shared" si="4"/>
        <v>8</v>
      </c>
      <c r="AA101">
        <f t="shared" si="5"/>
        <v>0.34602729070550298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pivots</vt:lpstr>
      <vt:lpstr>Sheet2</vt:lpstr>
      <vt:lpstr>Sheet3</vt:lpstr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mishra</dc:creator>
  <cp:lastModifiedBy>Kritika Mishra</cp:lastModifiedBy>
  <dcterms:created xsi:type="dcterms:W3CDTF">2026-01-22T13:08:09Z</dcterms:created>
  <dcterms:modified xsi:type="dcterms:W3CDTF">2026-01-22T20:10:03Z</dcterms:modified>
</cp:coreProperties>
</file>